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ompany_Overview" sheetId="2" state="visible" r:id="rId4"/>
    <sheet name="Environmental" sheetId="3" state="visible" r:id="rId5"/>
    <sheet name="Social" sheetId="4" state="visible" r:id="rId6"/>
    <sheet name="Governance" sheetId="5" state="visible" r:id="rId7"/>
    <sheet name="Materiality_Assessment" sheetId="6" state="visible" r:id="rId8"/>
    <sheet name="KPI_Tracker" sheetId="7" state="visible" r:id="rId9"/>
    <sheet name="Trends_5Y" sheetId="8" state="visible" r:id="rId10"/>
    <sheet name="ESG_Heatmap" sheetId="9" state="visible" r:id="rId11"/>
    <sheet name="Risks_and_SWOT" sheetId="10" state="visible" r:id="rId12"/>
    <sheet name="ESG_Scorecard" sheetId="11" state="visible" r:id="rId13"/>
    <sheet name="Peer_Benchmark" sheetId="12" state="visible" r:id="rId14"/>
    <sheet name="Framework_Alignment" sheetId="13" state="visible" r:id="rId15"/>
    <sheet name="Data_Quality" sheetId="14" state="visible" r:id="rId16"/>
    <sheet name="Sources"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<sst xmlns="http://schemas.openxmlformats.org/spreadsheetml/2006/main" count="514" uniqueCount="358">
  <si>
    <t xml:space="preserve">ESG Metrics — Infosys Limited</t>
  </si>
  <si>
    <t xml:space="preserve">Master Data Workbook  ·  ESG Decoded, Issue 01  ·  FY2024-25</t>
  </si>
  <si>
    <t xml:space="preserve">PURPOSE</t>
  </si>
  <si>
    <t xml:space="preserve">This workbook consolidates every metric referenced in the ESG Decoded — Infosys Limited (FY2024-25) analyst series: the HTML snapshot, the Word analyst report, and the PowerPoint analyst brief. It is the single data source behind those deliverables.</t>
  </si>
  <si>
    <t xml:space="preserve">WORKBOOK STRUCTURE</t>
  </si>
  <si>
    <t xml:space="preserve">Company_Overview</t>
  </si>
  <si>
    <t xml:space="preserve">Headline company facts — HQ, market cap, employees, revenue, reporting standards.</t>
  </si>
  <si>
    <t xml:space="preserve">Environmental</t>
  </si>
  <si>
    <t xml:space="preserve">Scope 1/2 emissions, renewable electricity, waste/water, targets, YoY change (formula-driven).</t>
  </si>
  <si>
    <t xml:space="preserve">Social</t>
  </si>
  <si>
    <t xml:space="preserve">Workforce diversity, board diversity, recognitions, CSR focus.</t>
  </si>
  <si>
    <t xml:space="preserve">Governance</t>
  </si>
  <si>
    <t xml:space="preserve">Board independence, committee structure, policies.</t>
  </si>
  <si>
    <t xml:space="preserve">Materiality_Assessment</t>
  </si>
  <si>
    <t xml:space="preserve">Issue-level materiality ratings (1-5) with average (formula).</t>
  </si>
  <si>
    <t xml:space="preserve">KPI_Tracker</t>
  </si>
  <si>
    <t xml:space="preserve">Goal-by-goal progress status against FY2030 targets.</t>
  </si>
  <si>
    <t xml:space="preserve">Trends_5Y</t>
  </si>
  <si>
    <t xml:space="preserve">5-year renewable electricity trend and ESG milestone timeline.</t>
  </si>
  <si>
    <t xml:space="preserve">ESG_Heatmap</t>
  </si>
  <si>
    <t xml:space="preserve">Issue-level risk vs. opportunity rating.</t>
  </si>
  <si>
    <t xml:space="preserve">Risks_and_SWOT</t>
  </si>
  <si>
    <t xml:space="preserve">Key ESG risks, red flags, and SWOT analysis.</t>
  </si>
  <si>
    <t xml:space="preserve">ESG_Scorecard</t>
  </si>
  <si>
    <t xml:space="preserve">In-house weighted pillar scores, overall score (formula), momentum, and analyst verdict.</t>
  </si>
  <si>
    <t xml:space="preserve">Peer_Benchmark</t>
  </si>
  <si>
    <t xml:space="preserve">Infosys vs. Wipro vs. TCS, scored pillar-by-pillar on the same weighted methodology using real data read directly from each company's own FY2024-25 primary report; overall score and rank are formulas.</t>
  </si>
  <si>
    <t xml:space="preserve">Framework_Alignment</t>
  </si>
  <si>
    <t xml:space="preserve">Alignment to GRI, BRSR, CDP, TCFD, ISSB with disclosure maturity score.</t>
  </si>
  <si>
    <t xml:space="preserve">Data_Quality</t>
  </si>
  <si>
    <t xml:space="preserve">Confidence rating (1-5) per section with average (formula).</t>
  </si>
  <si>
    <t xml:space="preserve">Sources</t>
  </si>
  <si>
    <t xml:space="preserve">Full source list and disclaimers.</t>
  </si>
  <si>
    <t xml:space="preserve">CONVENTIONS</t>
  </si>
  <si>
    <t xml:space="preserve">Blue text</t>
  </si>
  <si>
    <t xml:space="preserve">Hardcoded value extracted or estimated from a public source (see Source column on each tab).</t>
  </si>
  <si>
    <t xml:space="preserve">Black text</t>
  </si>
  <si>
    <t xml:space="preserve">Calculated by formula — will recalculate automatically if inputs change.</t>
  </si>
  <si>
    <t xml:space="preserve">"~" prefix</t>
  </si>
  <si>
    <t xml:space="preserve">Best-available public estimate where the exact figure was not disclosed in a public summary.</t>
  </si>
  <si>
    <t xml:space="preserve">FY2024-25</t>
  </si>
  <si>
    <t xml:space="preserve">Infosys fiscal year ended 31 March 2025, referred to as FY2025 throughout.</t>
  </si>
  <si>
    <t xml:space="preserve">DISCLAIMER</t>
  </si>
  <si>
    <t xml:space="preserve">This workbook is analyst-style commentary compiled from public disclosures. It is not investment advice and has not been independently audited. Verify against original source filings before relying on it for investment or academic work.</t>
  </si>
  <si>
    <t xml:space="preserve">Company Overview</t>
  </si>
  <si>
    <t xml:space="preserve">Infosys Limited · NSE: INFY · BSE: 500209</t>
  </si>
  <si>
    <t xml:space="preserve">Metric</t>
  </si>
  <si>
    <t xml:space="preserve">Value</t>
  </si>
  <si>
    <t xml:space="preserve">Unit</t>
  </si>
  <si>
    <t xml:space="preserve">Source / Note</t>
  </si>
  <si>
    <t xml:space="preserve">Headquarters</t>
  </si>
  <si>
    <t xml:space="preserve">Bengaluru, India</t>
  </si>
  <si>
    <t xml:space="preserve">-</t>
  </si>
  <si>
    <t xml:space="preserve">Infosys Integrated Annual Report FY2025</t>
  </si>
  <si>
    <t xml:space="preserve">Industry</t>
  </si>
  <si>
    <t xml:space="preserve">IT Services &amp; Consulting</t>
  </si>
  <si>
    <t xml:space="preserve">Market Cap (approx.)</t>
  </si>
  <si>
    <t xml:space="preserve">₹ Lakh Cr</t>
  </si>
  <si>
    <t xml:space="preserve">Midpoint of ₹6.7-7.0L Cr range (fluctuates); Infosys Integrated Annual Report FY2025</t>
  </si>
  <si>
    <t xml:space="preserve">Employees</t>
  </si>
  <si>
    <t xml:space="preserve">headcount</t>
  </si>
  <si>
    <t xml:space="preserve">~3.17 lakh, FY2025; Infosys Integrated Annual Report FY2025</t>
  </si>
  <si>
    <t xml:space="preserve">Revenue (approx.)</t>
  </si>
  <si>
    <t xml:space="preserve">Approx. FY2025; Infosys Integrated Annual Report FY2025</t>
  </si>
  <si>
    <t xml:space="preserve">Reporting Standards</t>
  </si>
  <si>
    <t xml:space="preserve">BRSR + GRI</t>
  </si>
  <si>
    <t xml:space="preserve">Infosys BRSR Disclosures FY2024-25</t>
  </si>
  <si>
    <t xml:space="preserve">Carbon Neutral Since</t>
  </si>
  <si>
    <t xml:space="preserve">FY2019-20</t>
  </si>
  <si>
    <t xml:space="preserve">Infosys ESG Report FY2024-25</t>
  </si>
  <si>
    <t xml:space="preserve">Net Zero Target Year</t>
  </si>
  <si>
    <t xml:space="preserve">year</t>
  </si>
  <si>
    <t xml:space="preserve">Climate Positive Target Year</t>
  </si>
  <si>
    <t xml:space="preserve">Fiscal Year End</t>
  </si>
  <si>
    <t xml:space="preserve">31-Mar-2025</t>
  </si>
  <si>
    <t xml:space="preserve">date</t>
  </si>
  <si>
    <t xml:space="preserve">NSE Ticker</t>
  </si>
  <si>
    <t xml:space="preserve">INFY</t>
  </si>
  <si>
    <t xml:space="preserve">Public market data</t>
  </si>
  <si>
    <t xml:space="preserve">BSE Code</t>
  </si>
  <si>
    <t xml:space="preserve">500209</t>
  </si>
  <si>
    <t xml:space="preserve">ESG Maturity Stage</t>
  </si>
  <si>
    <t xml:space="preserve">Leading</t>
  </si>
  <si>
    <t xml:space="preserve">Emerging/Developing/Integrated/Leading</t>
  </si>
  <si>
    <t xml:space="preserve">ESG Decoded analyst assessment (in-house methodology)</t>
  </si>
  <si>
    <t xml:space="preserve">Environmental Metrics</t>
  </si>
  <si>
    <t xml:space="preserve">FY2024 vs FY2025, with formula-driven YoY change</t>
  </si>
  <si>
    <t xml:space="preserve">FY2024</t>
  </si>
  <si>
    <t xml:space="preserve">FY2025</t>
  </si>
  <si>
    <t xml:space="preserve">YoY Change</t>
  </si>
  <si>
    <t xml:space="preserve">Scope 2 Emissions (market-based)</t>
  </si>
  <si>
    <t xml:space="preserve">tCO2e</t>
  </si>
  <si>
    <t xml:space="preserve">FY2024 figure is a directional estimate (~); FY2025 figure per Infosys ESG Report FY2024-25</t>
  </si>
  <si>
    <t xml:space="preserve">Scope 1 Emissions</t>
  </si>
  <si>
    <t xml:space="preserve">n/a</t>
  </si>
  <si>
    <t xml:space="preserve">Renewable Electricity (India ops)</t>
  </si>
  <si>
    <t xml:space="preserve">%</t>
  </si>
  <si>
    <t xml:space="preserve">Wastewater Recycled</t>
  </si>
  <si>
    <t xml:space="preserve">Green-Certified Office Area</t>
  </si>
  <si>
    <t xml:space="preserve">Scope 1+2 Reduction Target (vs. BAU, by 2030)</t>
  </si>
  <si>
    <t xml:space="preserve">% target</t>
  </si>
  <si>
    <t xml:space="preserve">Scope 3 Reduction Target (by 2030)</t>
  </si>
  <si>
    <t xml:space="preserve">Note: negative YoY change on Scope 2 reflects an emissions reduction (improvement).</t>
  </si>
  <si>
    <t xml:space="preserve">Social Metrics</t>
  </si>
  <si>
    <t xml:space="preserve">Workforce &amp; board diversity, recognitions</t>
  </si>
  <si>
    <t xml:space="preserve">Women in Workforce</t>
  </si>
  <si>
    <t xml:space="preserve">Women on Board (Directors)</t>
  </si>
  <si>
    <t xml:space="preserve">Employee Base</t>
  </si>
  <si>
    <t xml:space="preserve">"Best Companies for Women in India" recognition</t>
  </si>
  <si>
    <t xml:space="preserve">years running</t>
  </si>
  <si>
    <t xml:space="preserve">Infosys corporate recognitions page</t>
  </si>
  <si>
    <t xml:space="preserve">Ethisphere "World's Most Ethical Companies"</t>
  </si>
  <si>
    <t xml:space="preserve">Ethisphere / Infosys corporate recognitions page</t>
  </si>
  <si>
    <t xml:space="preserve">CSR Focus Areas</t>
  </si>
  <si>
    <t xml:space="preserve">Skilling, Rural Development</t>
  </si>
  <si>
    <t xml:space="preserve">Workforce vs. Board Female Representation Gap</t>
  </si>
  <si>
    <t xml:space="preserve">pts</t>
  </si>
  <si>
    <t xml:space="preserve">ESG Decoded analyst assessment (in-house methodology) (calculated)</t>
  </si>
  <si>
    <t xml:space="preserve">Governance Metrics</t>
  </si>
  <si>
    <t xml:space="preserve">Board structure and policy framework</t>
  </si>
  <si>
    <t xml:space="preserve">Board Independence</t>
  </si>
  <si>
    <t xml:space="preserve">Majority independent</t>
  </si>
  <si>
    <t xml:space="preserve">Female Directors</t>
  </si>
  <si>
    <t xml:space="preserve">22.2%</t>
  </si>
  <si>
    <t xml:space="preserve">Chairman-CEO Separation</t>
  </si>
  <si>
    <t xml:space="preserve">Yes (non-executive independent chairman)</t>
  </si>
  <si>
    <t xml:space="preserve">ESG / Sustainability Oversight</t>
  </si>
  <si>
    <t xml:space="preserve">Board-level committee</t>
  </si>
  <si>
    <t xml:space="preserve">Anti-Bribery / Anti-Corruption Policy</t>
  </si>
  <si>
    <t xml:space="preserve">Yes</t>
  </si>
  <si>
    <t xml:space="preserve">Whistleblower Policy</t>
  </si>
  <si>
    <t xml:space="preserve">Materiality Assessment</t>
  </si>
  <si>
    <t xml:space="preserve">Issue-level materiality rating, 1 (low) - 5 (high)</t>
  </si>
  <si>
    <t xml:space="preserve">Issue</t>
  </si>
  <si>
    <t xml:space="preserve">Materiality (1-5)</t>
  </si>
  <si>
    <t xml:space="preserve">Rationale</t>
  </si>
  <si>
    <t xml:space="preserve">Cybersecurity</t>
  </si>
  <si>
    <t xml:space="preserve">Core to a data/IT-services business model</t>
  </si>
  <si>
    <t xml:space="preserve">AI Governance</t>
  </si>
  <si>
    <t xml:space="preserve">Rapid gen-AI adoption in service delivery</t>
  </si>
  <si>
    <t xml:space="preserve">Data Privacy</t>
  </si>
  <si>
    <t xml:space="preserve">Heavy exposure to client data</t>
  </si>
  <si>
    <t xml:space="preserve">Employee Retention</t>
  </si>
  <si>
    <t xml:space="preserve">Margins depend on utilization &amp; bench management</t>
  </si>
  <si>
    <t xml:space="preserve">Scope 3 Emissions</t>
  </si>
  <si>
    <t xml:space="preserve">Least controllable, largest long-term climate lever</t>
  </si>
  <si>
    <t xml:space="preserve">Water Use</t>
  </si>
  <si>
    <t xml:space="preserve">Low materiality for an asset-light IT services business</t>
  </si>
  <si>
    <t xml:space="preserve">Average Materiality Score</t>
  </si>
  <si>
    <t xml:space="preserve">KPI Achievement Tracker</t>
  </si>
  <si>
    <t xml:space="preserve">Progress against stated ESG goals</t>
  </si>
  <si>
    <t xml:space="preserve">Goal</t>
  </si>
  <si>
    <t xml:space="preserve">Progress</t>
  </si>
  <si>
    <t xml:space="preserve">Status Code (1=Risk,2=On Track,3=Ahead)</t>
  </si>
  <si>
    <t xml:space="preserve">Note</t>
  </si>
  <si>
    <t xml:space="preserve">Net Zero 2040</t>
  </si>
  <si>
    <t xml:space="preserve">On Track</t>
  </si>
  <si>
    <t xml:space="preserve">Consistent with roadmap</t>
  </si>
  <si>
    <t xml:space="preserve">Scope 1 Reduction</t>
  </si>
  <si>
    <t xml:space="preserve">Ahead</t>
  </si>
  <si>
    <t xml:space="preserve">Outpacing baseline</t>
  </si>
  <si>
    <t xml:space="preserve">Scope 3 Reduction</t>
  </si>
  <si>
    <t xml:space="preserve">Moderate Risk</t>
  </si>
  <si>
    <t xml:space="preserve">Least controllable lever</t>
  </si>
  <si>
    <t xml:space="preserve">Wastewater Recycling</t>
  </si>
  <si>
    <t xml:space="preserve">Achieved</t>
  </si>
  <si>
    <t xml:space="preserve">100% target met</t>
  </si>
  <si>
    <t xml:space="preserve">Renewable Energy</t>
  </si>
  <si>
    <t xml:space="preserve">81.8% vs. multi-year plan</t>
  </si>
  <si>
    <t xml:space="preserve">% of Goals Rated 'On Track' or Better</t>
  </si>
  <si>
    <t xml:space="preserve">5-Year Trends &amp; Milestones</t>
  </si>
  <si>
    <t xml:space="preserve">Renewable electricity trajectory + ESG timeline</t>
  </si>
  <si>
    <t xml:space="preserve">RENEWABLE ELECTRICITY, 5-YEAR TREND</t>
  </si>
  <si>
    <t xml:space="preserve">Year</t>
  </si>
  <si>
    <t xml:space="preserve">Renewable Electricity (%)</t>
  </si>
  <si>
    <t xml:space="preserve">YoY Change (pts)</t>
  </si>
  <si>
    <t xml:space="preserve">2021</t>
  </si>
  <si>
    <t xml:space="preserve">Reconstructed from disclosed year-on-year progress (directional)</t>
  </si>
  <si>
    <t xml:space="preserve">2022</t>
  </si>
  <si>
    <t xml:space="preserve">2023</t>
  </si>
  <si>
    <t xml:space="preserve">2024</t>
  </si>
  <si>
    <t xml:space="preserve">2025</t>
  </si>
  <si>
    <t xml:space="preserve">ESG TIMELINE — KEY MILESTONES</t>
  </si>
  <si>
    <t xml:space="preserve">Milestone</t>
  </si>
  <si>
    <t xml:space="preserve">2019-20</t>
  </si>
  <si>
    <t xml:space="preserve">Carbon-neutral status achieved</t>
  </si>
  <si>
    <t xml:space="preserve">Climate-positive-by-2030 vision announced</t>
  </si>
  <si>
    <t xml:space="preserve">Responsible AI / AI governance framework introduced</t>
  </si>
  <si>
    <t xml:space="preserve">Vision 2030 emissions targets revised upward</t>
  </si>
  <si>
    <t xml:space="preserve">ESG Heatmap</t>
  </si>
  <si>
    <t xml:space="preserve">Issue-level Risk vs. Opportunity rating (Low / Medium / High)</t>
  </si>
  <si>
    <t xml:space="preserve">Risk</t>
  </si>
  <si>
    <t xml:space="preserve">Opportunity</t>
  </si>
  <si>
    <t xml:space="preserve">Carbon</t>
  </si>
  <si>
    <t xml:space="preserve">Medium</t>
  </si>
  <si>
    <t xml:space="preserve">High</t>
  </si>
  <si>
    <t xml:space="preserve">Diversity</t>
  </si>
  <si>
    <t xml:space="preserve">Water</t>
  </si>
  <si>
    <t xml:space="preserve">Low</t>
  </si>
  <si>
    <t xml:space="preserve">ESG Risks, Red Flags &amp; SWOT</t>
  </si>
  <si>
    <t xml:space="preserve">Qualitative analysis backing the analyst report</t>
  </si>
  <si>
    <t xml:space="preserve">KEY ESG RISKS</t>
  </si>
  <si>
    <t xml:space="preserve">Description</t>
  </si>
  <si>
    <t xml:space="preserve">Data Privacy &amp; AI Governance</t>
  </si>
  <si>
    <t xml:space="preserve">Heavy exposure to client data and rapid gen-AI adoption raises data-handling and model-governance risk.</t>
  </si>
  <si>
    <t xml:space="preserve">Talent Retention</t>
  </si>
  <si>
    <t xml:space="preserve">IT services margins depend on utilization; attrition swings affect delivery cost and client continuity.</t>
  </si>
  <si>
    <t xml:space="preserve">Scope 3 Concentration</t>
  </si>
  <si>
    <t xml:space="preserve">Travel, commute and supply-chain emissions sit outside direct operational control — hardest 2030 target.</t>
  </si>
  <si>
    <t xml:space="preserve">A breach at Infosys carries downstream risk for client operations, not just its own.</t>
  </si>
  <si>
    <t xml:space="preserve">Global Regulatory Exposure</t>
  </si>
  <si>
    <t xml:space="preserve">Shifting AI, data-localization and labor regulation across geographies can raise compliance cost.</t>
  </si>
  <si>
    <t xml:space="preserve">Automation of Own Workforce</t>
  </si>
  <si>
    <t xml:space="preserve">AI-led productivity gains reducing entry-level hiring could tension with the skilling narrative.</t>
  </si>
  <si>
    <t xml:space="preserve">RED FLAGS</t>
  </si>
  <si>
    <t xml:space="preserve">Flag</t>
  </si>
  <si>
    <t xml:space="preserve">Level</t>
  </si>
  <si>
    <t xml:space="preserve">Scope 3 dependency</t>
  </si>
  <si>
    <t xml:space="preserve">Yellow</t>
  </si>
  <si>
    <t xml:space="preserve">Board diversity below workforce diversity</t>
  </si>
  <si>
    <t xml:space="preserve">Disclosure quality</t>
  </si>
  <si>
    <t xml:space="preserve">Green — Strong</t>
  </si>
  <si>
    <t xml:space="preserve">Governance stability</t>
  </si>
  <si>
    <t xml:space="preserve">Green — Stable</t>
  </si>
  <si>
    <t xml:space="preserve">SWOT</t>
  </si>
  <si>
    <t xml:space="preserve">Category</t>
  </si>
  <si>
    <t xml:space="preserve">Statement</t>
  </si>
  <si>
    <t xml:space="preserve">Strength</t>
  </si>
  <si>
    <t xml:space="preserve">Mature, independent governance framework with board-level ESG oversight.</t>
  </si>
  <si>
    <t xml:space="preserve">Weakness</t>
  </si>
  <si>
    <t xml:space="preserve">Scope 3 emissions and board gender diversity trail the rest of the ESG profile.</t>
  </si>
  <si>
    <t xml:space="preserve">Rising client demand for "green AI" and sustainable-by-design digital services.</t>
  </si>
  <si>
    <t xml:space="preserve">Threat</t>
  </si>
  <si>
    <t xml:space="preserve">Tightening AI and data-localization regulation across key export markets.</t>
  </si>
  <si>
    <t xml:space="preserve">ESG Scorecard — In-House Rating</t>
  </si>
  <si>
    <t xml:space="preserve">Weighted pillar scores and overall score (formula-driven)</t>
  </si>
  <si>
    <t xml:space="preserve">PILLAR SCORES</t>
  </si>
  <si>
    <t xml:space="preserve">Pillar</t>
  </si>
  <si>
    <t xml:space="preserve">Score (/10)</t>
  </si>
  <si>
    <t xml:space="preserve">Weight in Overall</t>
  </si>
  <si>
    <t xml:space="preserve">ESG Decoded analyst assessment (in-house methodology) — see methodology below</t>
  </si>
  <si>
    <t xml:space="preserve">Transparency</t>
  </si>
  <si>
    <t xml:space="preserve">Overall ESG Score</t>
  </si>
  <si>
    <t xml:space="preserve">Weighted average of the four pillar scores (formula)</t>
  </si>
  <si>
    <t xml:space="preserve">SCORING METHODOLOGY (WEIGHTS WITHIN EACH E/S/G PILLAR)</t>
  </si>
  <si>
    <t xml:space="preserve">Component</t>
  </si>
  <si>
    <t xml:space="preserve">Weight</t>
  </si>
  <si>
    <t xml:space="preserve">Applies To</t>
  </si>
  <si>
    <t xml:space="preserve">Performance</t>
  </si>
  <si>
    <t xml:space="preserve">Environmental, Social, Governance</t>
  </si>
  <si>
    <t xml:space="preserve">Targets</t>
  </si>
  <si>
    <t xml:space="preserve">Year-over-Year Improvement</t>
  </si>
  <si>
    <t xml:space="preserve">Disclosure</t>
  </si>
  <si>
    <t xml:space="preserve">Standards Alignment</t>
  </si>
  <si>
    <t xml:space="preserve">Data Granularity</t>
  </si>
  <si>
    <t xml:space="preserve">Third-Party Assurance</t>
  </si>
  <si>
    <t xml:space="preserve">MOMENTUM</t>
  </si>
  <si>
    <t xml:space="preserve">Area</t>
  </si>
  <si>
    <t xml:space="preserve">Status</t>
  </si>
  <si>
    <t xml:space="preserve">Momentum</t>
  </si>
  <si>
    <t xml:space="preserve">Environment</t>
  </si>
  <si>
    <t xml:space="preserve">Strong</t>
  </si>
  <si>
    <t xml:space="preserve">High (improving)</t>
  </si>
  <si>
    <t xml:space="preserve">Moderate</t>
  </si>
  <si>
    <t xml:space="preserve">Stable</t>
  </si>
  <si>
    <t xml:space="preserve">Improving</t>
  </si>
  <si>
    <t xml:space="preserve">Momentum Rating</t>
  </si>
  <si>
    <t xml:space="preserve">/ 10</t>
  </si>
  <si>
    <t xml:space="preserve">Strong target progression and disclosure improvements suggest performance is still improving, not plateauing.</t>
  </si>
  <si>
    <t xml:space="preserve">CONFIDENCE &amp; ANALYST'S VERDICT</t>
  </si>
  <si>
    <t xml:space="preserve">Item</t>
  </si>
  <si>
    <t xml:space="preserve">Confidence</t>
  </si>
  <si>
    <t xml:space="preserve">High (92%)</t>
  </si>
  <si>
    <t xml:space="preserve">Complete BRSR, detailed GRI mapping, third-party assurance, multi-year historical data available</t>
  </si>
  <si>
    <t xml:space="preserve">Star Rating</t>
  </si>
  <si>
    <t xml:space="preserve">4 / 5</t>
  </si>
  <si>
    <t xml:space="preserve">Verdict</t>
  </si>
  <si>
    <t xml:space="preserve">Strong Performer</t>
  </si>
  <si>
    <t xml:space="preserve">Risk Level</t>
  </si>
  <si>
    <t xml:space="preserve">Low-Moderate</t>
  </si>
  <si>
    <t xml:space="preserve">Disclosure Quality</t>
  </si>
  <si>
    <t xml:space="preserve">Excellent</t>
  </si>
  <si>
    <t xml:space="preserve">Industry Position</t>
  </si>
  <si>
    <t xml:space="preserve">Top Quartile</t>
  </si>
  <si>
    <t xml:space="preserve">Peer Benchmark</t>
  </si>
  <si>
    <t xml:space="preserve">Same weighted methodology as ESG_Scorecard — real data from primary sources</t>
  </si>
  <si>
    <t xml:space="preserve">PILLAR SCORES (SAME METHODOLOGY AS ESG_SCORECARD)</t>
  </si>
  <si>
    <t xml:space="preserve">Company</t>
  </si>
  <si>
    <t xml:space="preserve">Overall</t>
  </si>
  <si>
    <t xml:space="preserve">Rank</t>
  </si>
  <si>
    <t xml:space="preserve">Infosys</t>
  </si>
  <si>
    <t xml:space="preserve">Wipro</t>
  </si>
  <si>
    <t xml:space="preserve">TCS</t>
  </si>
  <si>
    <t xml:space="preserve">SCORING RATIONALE (WHAT CHANGED FROM DIRECTIONAL ESTIMATES)</t>
  </si>
  <si>
    <t xml:space="preserve">81.8% renewable electricity; explicit 6-year carbon-neutral claim; tightened 2030 targets (90% Scope1+2, 40% Scope3 cuts).</t>
  </si>
  <si>
    <t xml:space="preserve">84% renewable (highest of the three) but less ambitious formal Scope1+2 target (59% by 2030 vs. Infosys's 90%); water reuse declining 37%→35%→31% FY23-25; no explicit carbon-neutral claim.</t>
  </si>
  <si>
    <t xml:space="preserve">Already achieved 84% absolute Scope1+2 cut vs. FY2016 baseline (stronger delivered result than target-stage peers); 79% renewable (lowest of the three); Scope3 target timeline extends to FY2034, longer than peers' 2030.</t>
  </si>
  <si>
    <t xml:space="preserve">39% women workforce, 22.2% women directors, 7-year running DEI recognition.</t>
  </si>
  <si>
    <t xml:space="preserve">37.1% women workforce, 22.2% women directors (2 of 9), 6-year running DEI recognition, strong return-to-work program (99.87% success rate).</t>
  </si>
  <si>
    <t xml:space="preserve">Strong CSR scale (₹1,038 Cr spend, 14.8M beneficiaries) and skilling (96.4 avg learning hours/employee) and lowest attrition (13.3%), but workforce gender-diversity % was not located in the primary source excerpt reviewed — treated as a disclosure gap, not assumed zero.</t>
  </si>
  <si>
    <t xml:space="preserve">Majority-independent board; non-executive INDEPENDENT chairman separate from CEO.</t>
  </si>
  <si>
    <t xml:space="preserve">66.7% board independence (6 of 9) — technically higher than 'majority' — but the Chairman (Rishad Premji) is an EXECUTIVE, promoter-family chairman, not independent; CEO role is separate. Structurally weaker chair independence than Infosys or TCS.</t>
  </si>
  <si>
    <t xml:space="preserve">62.5% board independence (5 of 8) — lower ratio than Infosys or Wipro; Chairman (N Chandrasekaran) is non-executive but not classified independent; separate CEO/MD role maintained.</t>
  </si>
  <si>
    <t xml:space="preserve">BRSR + GRI aligned, CDP reported, TCFD partial, ISSB emerging.</t>
  </si>
  <si>
    <t xml:space="preserve">GRI + ISO26000 (since FY19-20), Deloitte assurance at reasonable AND limited levels, CDP A-/A ratings, 14-year Dow Jones Sustainability Index member, EcoVadis Silver — very granular, well-assured disclosure.</t>
  </si>
  <si>
    <t xml:space="preserve">Science Based Targets initiative (SBTi)-validated near-term targets (a rigor step beyond self-declared targets), full Integrated Reporting five-capitals framework, GRI content index, named baseline years throughout — the most independently validated target-setting of the three.</t>
  </si>
  <si>
    <t xml:space="preserve">PRIMARY SOURCES USED FOR THIS SCORING</t>
  </si>
  <si>
    <t xml:space="preserve">Document</t>
  </si>
  <si>
    <t xml:space="preserve">URL</t>
  </si>
  <si>
    <t xml:space="preserve">Sustainability Report FY2024-25 ("Creating Shared Value — Ambitions Realized")</t>
  </si>
  <si>
    <t xml:space="preserve">wipro.com/content/dam/nexus/en/sustainability/sustainability_reports/wipro-sustainability-report-fy-2024-2025.pdf</t>
  </si>
  <si>
    <t xml:space="preserve">Integrated Annual Report FY2024-25 (includes Natural/Human/Social Capital sections and BRSR)</t>
  </si>
  <si>
    <t xml:space="preserve">tcs.com/content/dam/tcs/investor-relations/financial-statements/2024-25/ar/annual-report-2024-2025.pdf</t>
  </si>
  <si>
    <t xml:space="preserve">Note: pillar scores remain analyst judgment applied consistently across all three companies using the same weighting rubric as the Infosys ESG_Scorecard tab (Performance/Targets/YoY/Disclosure for E, S, G; Standards/Granularity/Assurance for Transparency) — they are not a mechanical roll-up of sub-component numeric inputs, since none of the three companies publishes pre-scored sub-components. Treat as a consistent analyst read of primary-source data, not an audited or third-party-certified rating.</t>
  </si>
  <si>
    <t xml:space="preserve">Global Framework Alignment</t>
  </si>
  <si>
    <t xml:space="preserve">Disclosure alignment to major ESG reporting frameworks</t>
  </si>
  <si>
    <t xml:space="preserve">Framework</t>
  </si>
  <si>
    <t xml:space="preserve">GRI</t>
  </si>
  <si>
    <t xml:space="preserve">Aligned</t>
  </si>
  <si>
    <t xml:space="preserve">Global Reporting Initiative</t>
  </si>
  <si>
    <t xml:space="preserve">BRSR</t>
  </si>
  <si>
    <t xml:space="preserve">Business Responsibility &amp; Sustainability Report (SEBI, India)</t>
  </si>
  <si>
    <t xml:space="preserve">CDP</t>
  </si>
  <si>
    <t xml:space="preserve">Reported</t>
  </si>
  <si>
    <t xml:space="preserve">Carbon Disclosure Project</t>
  </si>
  <si>
    <t xml:space="preserve">TCFD</t>
  </si>
  <si>
    <t xml:space="preserve">Partial</t>
  </si>
  <si>
    <t xml:space="preserve">Task Force on Climate-related Financial Disclosures</t>
  </si>
  <si>
    <t xml:space="preserve">ISSB</t>
  </si>
  <si>
    <t xml:space="preserve">Emerging</t>
  </si>
  <si>
    <t xml:space="preserve">International Sustainability Standards Board</t>
  </si>
  <si>
    <t xml:space="preserve">Disclosure Maturity Score</t>
  </si>
  <si>
    <t xml:space="preserve">out of 5 — comprehensive alignment to established frameworks; TCFD/ISSB adoption still maturing, in line with the broader sector. ESG Decoded analyst assessment (in-house methodology)</t>
  </si>
  <si>
    <t xml:space="preserve">Data Quality / Confidence Score</t>
  </si>
  <si>
    <t xml:space="preserve">Section-level confidence rating, 1 (low) - 5 (high)</t>
  </si>
  <si>
    <t xml:space="preserve">Section</t>
  </si>
  <si>
    <t xml:space="preserve">Confidence (1-5)</t>
  </si>
  <si>
    <t xml:space="preserve">Reason</t>
  </si>
  <si>
    <t xml:space="preserve">Third-party assured</t>
  </si>
  <si>
    <t xml:space="preserve">Some metrics estimated</t>
  </si>
  <si>
    <t xml:space="preserve">Fully disclosed</t>
  </si>
  <si>
    <t xml:space="preserve">Average Confidence</t>
  </si>
  <si>
    <t xml:space="preserve">Sources &amp; Disclaimers</t>
  </si>
  <si>
    <t xml:space="preserve">PRIMARY SOURCES</t>
  </si>
  <si>
    <t xml:space="preserve">Environmental and social metrics, targets, timeline</t>
  </si>
  <si>
    <t xml:space="preserve">Company overview, board &amp; governance structure</t>
  </si>
  <si>
    <t xml:space="preserve">Board composition, policies, social disclosures</t>
  </si>
  <si>
    <t xml:space="preserve">Wipro Sustainability Report FY2024-25 ("Creating Shared Value") — wipro.com/content/dam/nexus/en/sustainability/sustainability_reports/wipro-sustainability-report-fy-2024-2025.pdf</t>
  </si>
  <si>
    <t xml:space="preserve">Peer benchmark — Wipro (E/S/G/T pillar scoring, read directly from source)</t>
  </si>
  <si>
    <t xml:space="preserve">TCS Integrated Annual Report FY2024-25 — tcs.com/content/dam/tcs/investor-relations/financial-statements/2024-25/ar/annual-report-2024-2025.pdf</t>
  </si>
  <si>
    <t xml:space="preserve">Peer benchmark — TCS (E/S/G/T pillar scoring, read directly from source)</t>
  </si>
  <si>
    <t xml:space="preserve">DISCLAIMERS</t>
  </si>
  <si>
    <t xml:space="preserve">Figures marked "~" or noted as "approx."/"directional estimate" are best-available public estimates, not sourced from any paid ESG database.</t>
  </si>
  <si>
    <t xml:space="preserve">Peer benchmark scores for Wipro and TCS are illustrative, directional estimates — not scored against this workbook's full weighted methodology.</t>
  </si>
  <si>
    <t xml:space="preserve">This workbook is analyst-style commentary compiled from public disclosures. It is not investment advice and has not been independently audited.</t>
  </si>
  <si>
    <t xml:space="preserve">Evidence citations reference report chapters and BRSR principle numbers, not specific page numbers, since exact pagination was not independently re-verified for this workbook.</t>
  </si>
  <si>
    <t xml:space="preserve">Prepared by: ESG Decoded, Issue 01</t>
  </si>
  <si>
    <t xml:space="preserve">Workbook version: FY2024-25 Master Metrics</t>
  </si>
</sst>
</file>

<file path=xl/styles.xml><?xml version="1.0" encoding="utf-8"?>
<styleSheet xmlns="http://schemas.openxmlformats.org/spreadsheetml/2006/main">
  <numFmts count="7">
    <numFmt numFmtId="164" formatCode="General"/>
    <numFmt numFmtId="165" formatCode="#,##0.00"/>
    <numFmt numFmtId="166" formatCode="#,##0"/>
    <numFmt numFmtId="167" formatCode="0.0%"/>
    <numFmt numFmtId="168" formatCode="0.0"/>
    <numFmt numFmtId="169" formatCode="0"/>
    <numFmt numFmtId="170" formatCode="0%"/>
  </numFmts>
  <fonts count="15">
    <font>
      <sz val="11"/>
      <color theme="1"/>
      <name val="Calibri"/>
      <family val="2"/>
      <charset val="1"/>
    </font>
    <font>
      <sz val="10"/>
      <name val="Arial"/>
      <family val="0"/>
    </font>
    <font>
      <sz val="10"/>
      <name val="Arial"/>
      <family val="0"/>
    </font>
    <font>
      <sz val="10"/>
      <name val="Arial"/>
      <family val="0"/>
    </font>
    <font>
      <b val="true"/>
      <sz val="20"/>
      <color rgb="FF0B3D2E"/>
      <name val="Arial"/>
      <family val="0"/>
      <charset val="1"/>
    </font>
    <font>
      <i val="true"/>
      <sz val="12"/>
      <color rgb="FF1F6D4F"/>
      <name val="Arial"/>
      <family val="0"/>
      <charset val="1"/>
    </font>
    <font>
      <b val="true"/>
      <sz val="10.5"/>
      <color rgb="FF0B3D2E"/>
      <name val="Arial"/>
      <family val="0"/>
      <charset val="1"/>
    </font>
    <font>
      <sz val="10.5"/>
      <color rgb="FF1A1A1A"/>
      <name val="Arial"/>
      <family val="0"/>
      <charset val="1"/>
    </font>
    <font>
      <b val="true"/>
      <sz val="10.5"/>
      <color rgb="FF1A1A1A"/>
      <name val="Arial"/>
      <family val="0"/>
      <charset val="1"/>
    </font>
    <font>
      <b val="true"/>
      <sz val="10.5"/>
      <color rgb="FF1F4E9C"/>
      <name val="Arial"/>
      <family val="0"/>
      <charset val="1"/>
    </font>
    <font>
      <i val="true"/>
      <sz val="9"/>
      <color rgb="FF6E7C76"/>
      <name val="Arial"/>
      <family val="0"/>
      <charset val="1"/>
    </font>
    <font>
      <b val="true"/>
      <sz val="16"/>
      <color rgb="FF0B3D2E"/>
      <name val="Arial"/>
      <family val="0"/>
      <charset val="1"/>
    </font>
    <font>
      <b val="true"/>
      <sz val="11"/>
      <color rgb="FFFFFFFF"/>
      <name val="Arial"/>
      <family val="0"/>
      <charset val="1"/>
    </font>
    <font>
      <sz val="10.5"/>
      <color rgb="FF1F4E9C"/>
      <name val="Arial"/>
      <family val="0"/>
      <charset val="1"/>
    </font>
    <font>
      <b val="true"/>
      <sz val="12"/>
      <color rgb="FF0B3D2E"/>
      <name val="Arial"/>
      <family val="0"/>
      <charset val="1"/>
    </font>
  </fonts>
  <fills count="7">
    <fill>
      <patternFill patternType="none"/>
    </fill>
    <fill>
      <patternFill patternType="gray125"/>
    </fill>
    <fill>
      <patternFill patternType="solid">
        <fgColor rgb="FFDCEBDF"/>
        <bgColor rgb="FFD9E6DC"/>
      </patternFill>
    </fill>
    <fill>
      <patternFill patternType="solid">
        <fgColor rgb="FF0B3D2E"/>
        <bgColor rgb="FF003366"/>
      </patternFill>
    </fill>
    <fill>
      <patternFill patternType="solid">
        <fgColor rgb="FFFBF7EF"/>
        <bgColor rgb="FFFBEDEA"/>
      </patternFill>
    </fill>
    <fill>
      <patternFill patternType="solid">
        <fgColor rgb="FFFBEDEA"/>
        <bgColor rgb="FFFBF7EF"/>
      </patternFill>
    </fill>
    <fill>
      <patternFill patternType="solid">
        <fgColor rgb="FFEAF5EC"/>
        <bgColor rgb="FFFBF7EF"/>
      </patternFill>
    </fill>
  </fills>
  <borders count="2">
    <border diagonalUp="false" diagonalDown="false">
      <left/>
      <right/>
      <top/>
      <bottom/>
      <diagonal/>
    </border>
    <border diagonalUp="false" diagonalDown="false">
      <left style="thin">
        <color rgb="FFD9E6DC"/>
      </left>
      <right style="thin">
        <color rgb="FFD9E6DC"/>
      </right>
      <top style="thin">
        <color rgb="FFD9E6DC"/>
      </top>
      <bottom style="thin">
        <color rgb="FFD9E6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left"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5" fontId="13" fillId="0" borderId="1" xfId="0" applyFont="true" applyBorder="true" applyAlignment="true" applyProtection="false">
      <alignment horizontal="left" vertical="center" textRotation="0" wrapText="true" indent="0" shrinkToFit="false"/>
      <protection locked="true" hidden="false"/>
    </xf>
    <xf numFmtId="166" fontId="13" fillId="0" borderId="1" xfId="0" applyFont="true" applyBorder="true" applyAlignment="true" applyProtection="false">
      <alignment horizontal="left" vertical="center" textRotation="0" wrapText="tru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13" fillId="0" borderId="1" xfId="0" applyFont="true" applyBorder="true" applyAlignment="true" applyProtection="false">
      <alignment horizontal="left" vertical="center" textRotation="0" wrapText="tru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9" fontId="13"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70" fontId="13" fillId="0"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8" fontId="14" fillId="2" borderId="1" xfId="0" applyFont="true" applyBorder="true" applyAlignment="false" applyProtection="false">
      <alignment horizontal="general" vertical="bottom" textRotation="0" wrapText="false" indent="0" shrinkToFit="false"/>
      <protection locked="true" hidden="false"/>
    </xf>
    <xf numFmtId="170" fontId="7" fillId="2" borderId="1"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D4F"/>
      <rgbColor rgb="FFC0C0C0"/>
      <rgbColor rgb="FF6E7C76"/>
      <rgbColor rgb="FF9999FF"/>
      <rgbColor rgb="FF993366"/>
      <rgbColor rgb="FFFBF7EF"/>
      <rgbColor rgb="FFEAF5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9E6DC"/>
      <rgbColor rgb="FFDCEBDF"/>
      <rgbColor rgb="FFFBEDEA"/>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B3D2E"/>
      <rgbColor rgb="FF333300"/>
      <rgbColor rgb="FF993300"/>
      <rgbColor rgb="FF993366"/>
      <rgbColor rgb="FF1F4E9C"/>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0"/>
  </cols>
  <sheetData>
    <row r="1" customFormat="false" ht="27.75" hidden="false" customHeight="true" outlineLevel="0" collapsed="false">
      <c r="A1" s="1" t="s">
        <v>0</v>
      </c>
      <c r="B1" s="1"/>
    </row>
    <row r="2" customFormat="false" ht="15" hidden="false" customHeight="false" outlineLevel="0" collapsed="false">
      <c r="A2" s="2" t="s">
        <v>1</v>
      </c>
      <c r="B2" s="2"/>
    </row>
    <row r="4" customFormat="false" ht="18" hidden="false" customHeight="true" outlineLevel="0" collapsed="false">
      <c r="A4" s="3" t="s">
        <v>2</v>
      </c>
      <c r="B4" s="3"/>
    </row>
    <row r="5" customFormat="false" ht="42" hidden="false" customHeight="true" outlineLevel="0" collapsed="false">
      <c r="A5" s="4" t="s">
        <v>3</v>
      </c>
      <c r="B5" s="4"/>
    </row>
    <row r="7" customFormat="false" ht="18" hidden="false" customHeight="true" outlineLevel="0" collapsed="false">
      <c r="A7" s="3" t="s">
        <v>4</v>
      </c>
      <c r="B7" s="3"/>
    </row>
    <row r="8" customFormat="false" ht="15" hidden="false" customHeight="false" outlineLevel="0" collapsed="false">
      <c r="A8" s="5" t="s">
        <v>5</v>
      </c>
      <c r="B8" s="6" t="s">
        <v>6</v>
      </c>
    </row>
    <row r="9" customFormat="false" ht="15" hidden="false" customHeight="false" outlineLevel="0" collapsed="false">
      <c r="A9" s="5" t="s">
        <v>7</v>
      </c>
      <c r="B9" s="6" t="s">
        <v>8</v>
      </c>
    </row>
    <row r="10" customFormat="false" ht="15" hidden="false" customHeight="false" outlineLevel="0" collapsed="false">
      <c r="A10" s="5" t="s">
        <v>9</v>
      </c>
      <c r="B10" s="6" t="s">
        <v>10</v>
      </c>
    </row>
    <row r="11" customFormat="false" ht="15" hidden="false" customHeight="false" outlineLevel="0" collapsed="false">
      <c r="A11" s="5" t="s">
        <v>11</v>
      </c>
      <c r="B11" s="6" t="s">
        <v>12</v>
      </c>
    </row>
    <row r="12" customFormat="false" ht="15" hidden="false" customHeight="false" outlineLevel="0" collapsed="false">
      <c r="A12" s="5" t="s">
        <v>13</v>
      </c>
      <c r="B12" s="6" t="s">
        <v>14</v>
      </c>
    </row>
    <row r="13" customFormat="false" ht="15" hidden="false" customHeight="false" outlineLevel="0" collapsed="false">
      <c r="A13" s="5" t="s">
        <v>15</v>
      </c>
      <c r="B13" s="6" t="s">
        <v>16</v>
      </c>
    </row>
    <row r="14" customFormat="false" ht="15" hidden="false" customHeight="false" outlineLevel="0" collapsed="false">
      <c r="A14" s="5" t="s">
        <v>17</v>
      </c>
      <c r="B14" s="6" t="s">
        <v>18</v>
      </c>
    </row>
    <row r="15" customFormat="false" ht="15" hidden="false" customHeight="false" outlineLevel="0" collapsed="false">
      <c r="A15" s="5" t="s">
        <v>19</v>
      </c>
      <c r="B15" s="6" t="s">
        <v>20</v>
      </c>
    </row>
    <row r="16" customFormat="false" ht="15" hidden="false" customHeight="false" outlineLevel="0" collapsed="false">
      <c r="A16" s="5" t="s">
        <v>21</v>
      </c>
      <c r="B16" s="6" t="s">
        <v>22</v>
      </c>
    </row>
    <row r="17" customFormat="false" ht="15" hidden="false" customHeight="false" outlineLevel="0" collapsed="false">
      <c r="A17" s="5" t="s">
        <v>23</v>
      </c>
      <c r="B17" s="6" t="s">
        <v>24</v>
      </c>
    </row>
    <row r="18" customFormat="false" ht="15" hidden="false" customHeight="false" outlineLevel="0" collapsed="false">
      <c r="A18" s="5" t="s">
        <v>25</v>
      </c>
      <c r="B18" s="6" t="s">
        <v>26</v>
      </c>
    </row>
    <row r="19" customFormat="false" ht="15" hidden="false" customHeight="false" outlineLevel="0" collapsed="false">
      <c r="A19" s="5" t="s">
        <v>27</v>
      </c>
      <c r="B19" s="6" t="s">
        <v>28</v>
      </c>
    </row>
    <row r="20" customFormat="false" ht="15" hidden="false" customHeight="false" outlineLevel="0" collapsed="false">
      <c r="A20" s="5" t="s">
        <v>29</v>
      </c>
      <c r="B20" s="6" t="s">
        <v>30</v>
      </c>
    </row>
    <row r="21" customFormat="false" ht="15" hidden="false" customHeight="false" outlineLevel="0" collapsed="false">
      <c r="A21" s="5" t="s">
        <v>31</v>
      </c>
      <c r="B21" s="6" t="s">
        <v>32</v>
      </c>
    </row>
    <row r="23" customFormat="false" ht="18" hidden="false" customHeight="true" outlineLevel="0" collapsed="false">
      <c r="A23" s="3" t="s">
        <v>33</v>
      </c>
      <c r="B23" s="3"/>
    </row>
    <row r="24" customFormat="false" ht="15" hidden="false" customHeight="false" outlineLevel="0" collapsed="false">
      <c r="A24" s="7" t="s">
        <v>34</v>
      </c>
      <c r="B24" s="6" t="s">
        <v>35</v>
      </c>
    </row>
    <row r="25" customFormat="false" ht="15" hidden="false" customHeight="false" outlineLevel="0" collapsed="false">
      <c r="A25" s="7" t="s">
        <v>36</v>
      </c>
      <c r="B25" s="6" t="s">
        <v>37</v>
      </c>
    </row>
    <row r="26" customFormat="false" ht="15" hidden="false" customHeight="false" outlineLevel="0" collapsed="false">
      <c r="A26" s="7" t="s">
        <v>38</v>
      </c>
      <c r="B26" s="6" t="s">
        <v>39</v>
      </c>
    </row>
    <row r="27" customFormat="false" ht="15" hidden="false" customHeight="false" outlineLevel="0" collapsed="false">
      <c r="A27" s="7" t="s">
        <v>40</v>
      </c>
      <c r="B27" s="6" t="s">
        <v>41</v>
      </c>
    </row>
    <row r="29" customFormat="false" ht="18" hidden="false" customHeight="true" outlineLevel="0" collapsed="false">
      <c r="A29" s="3" t="s">
        <v>42</v>
      </c>
      <c r="B29" s="3"/>
    </row>
    <row r="30" customFormat="false" ht="33.75" hidden="false" customHeight="true" outlineLevel="0" collapsed="false">
      <c r="A30" s="8" t="s">
        <v>43</v>
      </c>
      <c r="B30" s="8"/>
    </row>
  </sheetData>
  <mergeCells count="8">
    <mergeCell ref="A1:B1"/>
    <mergeCell ref="A2:B2"/>
    <mergeCell ref="A4:B4"/>
    <mergeCell ref="A5:B5"/>
    <mergeCell ref="A7:B7"/>
    <mergeCell ref="A23:B23"/>
    <mergeCell ref="A29:B29"/>
    <mergeCell ref="A30:B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14"/>
    <col collapsed="false" customWidth="true" hidden="false" outlineLevel="0" max="4" min="4" style="0" width="45"/>
  </cols>
  <sheetData>
    <row r="1" customFormat="false" ht="24" hidden="false" customHeight="true" outlineLevel="0" collapsed="false">
      <c r="A1" s="9" t="s">
        <v>44</v>
      </c>
      <c r="B1" s="9"/>
      <c r="C1" s="9"/>
      <c r="D1" s="9"/>
    </row>
    <row r="2" customFormat="false" ht="15" hidden="false" customHeight="false" outlineLevel="0" collapsed="false">
      <c r="A2" s="8" t="s">
        <v>45</v>
      </c>
      <c r="B2" s="8"/>
      <c r="C2" s="8"/>
      <c r="D2" s="8"/>
    </row>
    <row r="4" customFormat="false" ht="19.5" hidden="false" customHeight="true" outlineLevel="0" collapsed="false">
      <c r="A4" s="10" t="s">
        <v>46</v>
      </c>
      <c r="B4" s="10" t="s">
        <v>47</v>
      </c>
      <c r="C4" s="10" t="s">
        <v>48</v>
      </c>
      <c r="D4" s="10" t="s">
        <v>49</v>
      </c>
    </row>
    <row r="5" customFormat="false" ht="15" hidden="false" customHeight="false" outlineLevel="0" collapsed="false">
      <c r="A5" s="11" t="s">
        <v>50</v>
      </c>
      <c r="B5" s="11" t="s">
        <v>51</v>
      </c>
      <c r="C5" s="11" t="s">
        <v>52</v>
      </c>
      <c r="D5" s="11" t="s">
        <v>53</v>
      </c>
    </row>
    <row r="6" customFormat="false" ht="25.35" hidden="false" customHeight="false" outlineLevel="0" collapsed="false">
      <c r="A6" s="11" t="s">
        <v>54</v>
      </c>
      <c r="B6" s="11" t="s">
        <v>55</v>
      </c>
      <c r="C6" s="11" t="s">
        <v>52</v>
      </c>
      <c r="D6" s="11" t="s">
        <v>53</v>
      </c>
    </row>
    <row r="7" customFormat="false" ht="25.35" hidden="false" customHeight="false" outlineLevel="0" collapsed="false">
      <c r="A7" s="11" t="s">
        <v>56</v>
      </c>
      <c r="B7" s="12" t="n">
        <v>6.85</v>
      </c>
      <c r="C7" s="11" t="s">
        <v>57</v>
      </c>
      <c r="D7" s="11" t="s">
        <v>58</v>
      </c>
    </row>
    <row r="8" customFormat="false" ht="25.35" hidden="false" customHeight="false" outlineLevel="0" collapsed="false">
      <c r="A8" s="11" t="s">
        <v>59</v>
      </c>
      <c r="B8" s="13" t="n">
        <v>317000</v>
      </c>
      <c r="C8" s="11" t="s">
        <v>60</v>
      </c>
      <c r="D8" s="11" t="s">
        <v>61</v>
      </c>
    </row>
    <row r="9" customFormat="false" ht="25.35" hidden="false" customHeight="false" outlineLevel="0" collapsed="false">
      <c r="A9" s="11" t="s">
        <v>62</v>
      </c>
      <c r="B9" s="12" t="n">
        <v>1.6</v>
      </c>
      <c r="C9" s="11" t="s">
        <v>57</v>
      </c>
      <c r="D9" s="11" t="s">
        <v>63</v>
      </c>
    </row>
    <row r="10" customFormat="false" ht="15" hidden="false" customHeight="false" outlineLevel="0" collapsed="false">
      <c r="A10" s="11" t="s">
        <v>64</v>
      </c>
      <c r="B10" s="11" t="s">
        <v>65</v>
      </c>
      <c r="C10" s="11" t="s">
        <v>52</v>
      </c>
      <c r="D10" s="11" t="s">
        <v>66</v>
      </c>
    </row>
    <row r="11" customFormat="false" ht="15" hidden="false" customHeight="false" outlineLevel="0" collapsed="false">
      <c r="A11" s="11" t="s">
        <v>67</v>
      </c>
      <c r="B11" s="11" t="s">
        <v>68</v>
      </c>
      <c r="C11" s="11" t="s">
        <v>52</v>
      </c>
      <c r="D11" s="11" t="s">
        <v>69</v>
      </c>
    </row>
    <row r="12" customFormat="false" ht="15" hidden="false" customHeight="false" outlineLevel="0" collapsed="false">
      <c r="A12" s="11" t="s">
        <v>70</v>
      </c>
      <c r="B12" s="13" t="n">
        <v>2040</v>
      </c>
      <c r="C12" s="11" t="s">
        <v>71</v>
      </c>
      <c r="D12" s="11" t="s">
        <v>69</v>
      </c>
    </row>
    <row r="13" customFormat="false" ht="15" hidden="false" customHeight="false" outlineLevel="0" collapsed="false">
      <c r="A13" s="11" t="s">
        <v>72</v>
      </c>
      <c r="B13" s="13" t="n">
        <v>2030</v>
      </c>
      <c r="C13" s="11" t="s">
        <v>71</v>
      </c>
      <c r="D13" s="11" t="s">
        <v>69</v>
      </c>
    </row>
    <row r="14" customFormat="false" ht="15" hidden="false" customHeight="false" outlineLevel="0" collapsed="false">
      <c r="A14" s="11" t="s">
        <v>73</v>
      </c>
      <c r="B14" s="11" t="s">
        <v>74</v>
      </c>
      <c r="C14" s="11" t="s">
        <v>75</v>
      </c>
      <c r="D14" s="11" t="s">
        <v>53</v>
      </c>
    </row>
    <row r="15" customFormat="false" ht="15" hidden="false" customHeight="false" outlineLevel="0" collapsed="false">
      <c r="A15" s="11" t="s">
        <v>76</v>
      </c>
      <c r="B15" s="11" t="s">
        <v>77</v>
      </c>
      <c r="C15" s="11" t="s">
        <v>52</v>
      </c>
      <c r="D15" s="11" t="s">
        <v>78</v>
      </c>
    </row>
    <row r="16" customFormat="false" ht="15" hidden="false" customHeight="false" outlineLevel="0" collapsed="false">
      <c r="A16" s="11" t="s">
        <v>79</v>
      </c>
      <c r="B16" s="11" t="s">
        <v>80</v>
      </c>
      <c r="C16" s="11" t="s">
        <v>52</v>
      </c>
      <c r="D16" s="11" t="s">
        <v>78</v>
      </c>
    </row>
    <row r="17" customFormat="false" ht="49.25" hidden="false" customHeight="false" outlineLevel="0" collapsed="false">
      <c r="A17" s="11" t="s">
        <v>81</v>
      </c>
      <c r="B17" s="11" t="s">
        <v>82</v>
      </c>
      <c r="C17" s="11" t="s">
        <v>83</v>
      </c>
      <c r="D17" s="11" t="s">
        <v>84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4"/>
    <col collapsed="false" customWidth="true" hidden="false" outlineLevel="0" max="4" min="4" style="0" width="12"/>
    <col collapsed="false" customWidth="true" hidden="false" outlineLevel="0" max="5" min="5" style="0" width="14"/>
    <col collapsed="false" customWidth="true" hidden="false" outlineLevel="0" max="6" min="6" style="0" width="45"/>
  </cols>
  <sheetData>
    <row r="1" customFormat="false" ht="24" hidden="false" customHeight="true" outlineLevel="0" collapsed="false">
      <c r="A1" s="9" t="s">
        <v>85</v>
      </c>
      <c r="B1" s="9"/>
      <c r="C1" s="9"/>
      <c r="D1" s="9"/>
      <c r="E1" s="9"/>
      <c r="F1" s="9"/>
    </row>
    <row r="2" customFormat="false" ht="15" hidden="false" customHeight="false" outlineLevel="0" collapsed="false">
      <c r="A2" s="8" t="s">
        <v>86</v>
      </c>
      <c r="B2" s="8"/>
      <c r="C2" s="8"/>
      <c r="D2" s="8"/>
      <c r="E2" s="8"/>
      <c r="F2" s="8"/>
    </row>
    <row r="4" customFormat="false" ht="19.5" hidden="false" customHeight="true" outlineLevel="0" collapsed="false">
      <c r="A4" s="10" t="s">
        <v>46</v>
      </c>
      <c r="B4" s="10" t="s">
        <v>87</v>
      </c>
      <c r="C4" s="10" t="s">
        <v>88</v>
      </c>
      <c r="D4" s="10" t="s">
        <v>48</v>
      </c>
      <c r="E4" s="10" t="s">
        <v>89</v>
      </c>
      <c r="F4" s="10" t="s">
        <v>49</v>
      </c>
    </row>
    <row r="5" customFormat="false" ht="15" hidden="false" customHeight="false" outlineLevel="0" collapsed="false">
      <c r="A5" s="5" t="s">
        <v>90</v>
      </c>
      <c r="B5" s="14" t="n">
        <v>42000</v>
      </c>
      <c r="C5" s="14" t="n">
        <v>34351</v>
      </c>
      <c r="D5" s="6" t="s">
        <v>91</v>
      </c>
      <c r="E5" s="15" t="n">
        <f aca="false">(C5-B5)/B5</f>
        <v>-0.182119047619048</v>
      </c>
      <c r="F5" s="16" t="s">
        <v>92</v>
      </c>
    </row>
    <row r="6" customFormat="false" ht="15" hidden="false" customHeight="false" outlineLevel="0" collapsed="false">
      <c r="A6" s="5" t="s">
        <v>93</v>
      </c>
      <c r="B6" s="16" t="s">
        <v>94</v>
      </c>
      <c r="C6" s="14" t="n">
        <v>8745</v>
      </c>
      <c r="D6" s="6" t="s">
        <v>91</v>
      </c>
      <c r="E6" s="16" t="s">
        <v>52</v>
      </c>
      <c r="F6" s="16" t="s">
        <v>69</v>
      </c>
    </row>
    <row r="7" customFormat="false" ht="15" hidden="false" customHeight="false" outlineLevel="0" collapsed="false">
      <c r="A7" s="5" t="s">
        <v>95</v>
      </c>
      <c r="B7" s="14" t="n">
        <v>78</v>
      </c>
      <c r="C7" s="14" t="n">
        <v>81.8</v>
      </c>
      <c r="D7" s="6" t="s">
        <v>96</v>
      </c>
      <c r="E7" s="15" t="n">
        <f aca="false">(C7-B7)/B7</f>
        <v>0.0487179487179487</v>
      </c>
      <c r="F7" s="16" t="s">
        <v>69</v>
      </c>
    </row>
    <row r="8" customFormat="false" ht="15" hidden="false" customHeight="false" outlineLevel="0" collapsed="false">
      <c r="A8" s="5" t="s">
        <v>97</v>
      </c>
      <c r="B8" s="16" t="s">
        <v>94</v>
      </c>
      <c r="C8" s="14" t="n">
        <v>100</v>
      </c>
      <c r="D8" s="6" t="s">
        <v>96</v>
      </c>
      <c r="E8" s="16" t="s">
        <v>52</v>
      </c>
      <c r="F8" s="16" t="s">
        <v>69</v>
      </c>
    </row>
    <row r="9" customFormat="false" ht="15" hidden="false" customHeight="false" outlineLevel="0" collapsed="false">
      <c r="A9" s="5" t="s">
        <v>98</v>
      </c>
      <c r="B9" s="16" t="s">
        <v>94</v>
      </c>
      <c r="C9" s="14" t="n">
        <v>84</v>
      </c>
      <c r="D9" s="6" t="s">
        <v>96</v>
      </c>
      <c r="E9" s="16" t="s">
        <v>52</v>
      </c>
      <c r="F9" s="16" t="s">
        <v>69</v>
      </c>
    </row>
    <row r="10" customFormat="false" ht="15" hidden="false" customHeight="false" outlineLevel="0" collapsed="false">
      <c r="A10" s="5" t="s">
        <v>99</v>
      </c>
      <c r="B10" s="16" t="s">
        <v>94</v>
      </c>
      <c r="C10" s="14" t="n">
        <v>90</v>
      </c>
      <c r="D10" s="6" t="s">
        <v>100</v>
      </c>
      <c r="E10" s="16" t="s">
        <v>52</v>
      </c>
      <c r="F10" s="16" t="s">
        <v>69</v>
      </c>
    </row>
    <row r="11" customFormat="false" ht="15" hidden="false" customHeight="false" outlineLevel="0" collapsed="false">
      <c r="A11" s="5" t="s">
        <v>101</v>
      </c>
      <c r="B11" s="16" t="s">
        <v>94</v>
      </c>
      <c r="C11" s="14" t="n">
        <v>40</v>
      </c>
      <c r="D11" s="6" t="s">
        <v>100</v>
      </c>
      <c r="E11" s="16" t="s">
        <v>52</v>
      </c>
      <c r="F11" s="16" t="s">
        <v>69</v>
      </c>
    </row>
    <row r="13" customFormat="false" ht="15" hidden="false" customHeight="false" outlineLevel="0" collapsed="false">
      <c r="A13" s="8" t="s">
        <v>102</v>
      </c>
      <c r="B13" s="8"/>
      <c r="C13" s="8"/>
      <c r="D13" s="8"/>
      <c r="E13" s="8"/>
      <c r="F13" s="8"/>
    </row>
  </sheetData>
  <mergeCells count="3">
    <mergeCell ref="A1:F1"/>
    <mergeCell ref="A2:F2"/>
    <mergeCell ref="A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6"/>
    <col collapsed="false" customWidth="true" hidden="false" outlineLevel="0" max="3" min="3" style="0" width="14"/>
    <col collapsed="false" customWidth="true" hidden="false" outlineLevel="0" max="4" min="4" style="0" width="45"/>
  </cols>
  <sheetData>
    <row r="1" customFormat="false" ht="24" hidden="false" customHeight="true" outlineLevel="0" collapsed="false">
      <c r="A1" s="9" t="s">
        <v>103</v>
      </c>
      <c r="B1" s="9"/>
      <c r="C1" s="9"/>
      <c r="D1" s="9"/>
    </row>
    <row r="2" customFormat="false" ht="15" hidden="false" customHeight="false" outlineLevel="0" collapsed="false">
      <c r="A2" s="8" t="s">
        <v>104</v>
      </c>
      <c r="B2" s="8"/>
      <c r="C2" s="8"/>
      <c r="D2" s="8"/>
    </row>
    <row r="4" customFormat="false" ht="19.5" hidden="false" customHeight="true" outlineLevel="0" collapsed="false">
      <c r="A4" s="10" t="s">
        <v>46</v>
      </c>
      <c r="B4" s="10" t="s">
        <v>47</v>
      </c>
      <c r="C4" s="10" t="s">
        <v>48</v>
      </c>
      <c r="D4" s="10" t="s">
        <v>49</v>
      </c>
    </row>
    <row r="5" customFormat="false" ht="15" hidden="false" customHeight="false" outlineLevel="0" collapsed="false">
      <c r="A5" s="11" t="s">
        <v>105</v>
      </c>
      <c r="B5" s="11" t="n">
        <v>39</v>
      </c>
      <c r="C5" s="11" t="s">
        <v>96</v>
      </c>
      <c r="D5" s="11" t="s">
        <v>69</v>
      </c>
    </row>
    <row r="6" customFormat="false" ht="15" hidden="false" customHeight="false" outlineLevel="0" collapsed="false">
      <c r="A6" s="11" t="s">
        <v>106</v>
      </c>
      <c r="B6" s="11" t="n">
        <v>22.2</v>
      </c>
      <c r="C6" s="11" t="s">
        <v>96</v>
      </c>
      <c r="D6" s="11" t="s">
        <v>66</v>
      </c>
    </row>
    <row r="7" customFormat="false" ht="15" hidden="false" customHeight="false" outlineLevel="0" collapsed="false">
      <c r="A7" s="11" t="s">
        <v>107</v>
      </c>
      <c r="B7" s="11" t="n">
        <v>317000</v>
      </c>
      <c r="C7" s="11" t="s">
        <v>60</v>
      </c>
      <c r="D7" s="11" t="s">
        <v>53</v>
      </c>
    </row>
    <row r="8" customFormat="false" ht="25.35" hidden="false" customHeight="false" outlineLevel="0" collapsed="false">
      <c r="A8" s="11" t="s">
        <v>108</v>
      </c>
      <c r="B8" s="11" t="n">
        <v>7</v>
      </c>
      <c r="C8" s="11" t="s">
        <v>109</v>
      </c>
      <c r="D8" s="11" t="s">
        <v>110</v>
      </c>
    </row>
    <row r="9" customFormat="false" ht="25.35" hidden="false" customHeight="false" outlineLevel="0" collapsed="false">
      <c r="A9" s="11" t="s">
        <v>111</v>
      </c>
      <c r="B9" s="11" t="n">
        <v>5</v>
      </c>
      <c r="C9" s="11" t="s">
        <v>109</v>
      </c>
      <c r="D9" s="11" t="s">
        <v>112</v>
      </c>
    </row>
    <row r="10" customFormat="false" ht="25.35" hidden="false" customHeight="false" outlineLevel="0" collapsed="false">
      <c r="A10" s="17" t="s">
        <v>113</v>
      </c>
      <c r="B10" s="17" t="s">
        <v>114</v>
      </c>
      <c r="C10" s="17" t="s">
        <v>52</v>
      </c>
      <c r="D10" s="17" t="s">
        <v>69</v>
      </c>
    </row>
    <row r="11" customFormat="false" ht="15" hidden="false" customHeight="false" outlineLevel="0" collapsed="false">
      <c r="A11" s="5" t="s">
        <v>115</v>
      </c>
      <c r="B11" s="18" t="n">
        <f aca="false">B5-B6</f>
        <v>16.8</v>
      </c>
      <c r="C11" s="6" t="s">
        <v>116</v>
      </c>
      <c r="D11" s="16" t="s">
        <v>117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45"/>
  </cols>
  <sheetData>
    <row r="1" customFormat="false" ht="24" hidden="false" customHeight="true" outlineLevel="0" collapsed="false">
      <c r="A1" s="9" t="s">
        <v>118</v>
      </c>
      <c r="B1" s="9"/>
      <c r="C1" s="9"/>
    </row>
    <row r="2" customFormat="false" ht="15" hidden="false" customHeight="false" outlineLevel="0" collapsed="false">
      <c r="A2" s="8" t="s">
        <v>119</v>
      </c>
      <c r="B2" s="8"/>
      <c r="C2" s="8"/>
    </row>
    <row r="4" customFormat="false" ht="19.5" hidden="false" customHeight="true" outlineLevel="0" collapsed="false">
      <c r="A4" s="10" t="s">
        <v>46</v>
      </c>
      <c r="B4" s="10" t="s">
        <v>47</v>
      </c>
      <c r="C4" s="10" t="s">
        <v>49</v>
      </c>
    </row>
    <row r="5" customFormat="false" ht="15" hidden="false" customHeight="false" outlineLevel="0" collapsed="false">
      <c r="A5" s="11" t="s">
        <v>120</v>
      </c>
      <c r="B5" s="11" t="s">
        <v>121</v>
      </c>
      <c r="C5" s="11" t="s">
        <v>53</v>
      </c>
    </row>
    <row r="6" customFormat="false" ht="15" hidden="false" customHeight="false" outlineLevel="0" collapsed="false">
      <c r="A6" s="11" t="s">
        <v>122</v>
      </c>
      <c r="B6" s="11" t="s">
        <v>123</v>
      </c>
      <c r="C6" s="11" t="s">
        <v>66</v>
      </c>
    </row>
    <row r="7" customFormat="false" ht="25.35" hidden="false" customHeight="false" outlineLevel="0" collapsed="false">
      <c r="A7" s="11" t="s">
        <v>124</v>
      </c>
      <c r="B7" s="11" t="s">
        <v>125</v>
      </c>
      <c r="C7" s="11" t="s">
        <v>53</v>
      </c>
    </row>
    <row r="8" customFormat="false" ht="15" hidden="false" customHeight="false" outlineLevel="0" collapsed="false">
      <c r="A8" s="11" t="s">
        <v>126</v>
      </c>
      <c r="B8" s="11" t="s">
        <v>127</v>
      </c>
      <c r="C8" s="11" t="s">
        <v>69</v>
      </c>
    </row>
    <row r="9" customFormat="false" ht="15" hidden="false" customHeight="false" outlineLevel="0" collapsed="false">
      <c r="A9" s="11" t="s">
        <v>128</v>
      </c>
      <c r="B9" s="11" t="s">
        <v>129</v>
      </c>
      <c r="C9" s="11" t="s">
        <v>66</v>
      </c>
    </row>
    <row r="10" customFormat="false" ht="15" hidden="false" customHeight="false" outlineLevel="0" collapsed="false">
      <c r="A10" s="11" t="s">
        <v>130</v>
      </c>
      <c r="B10" s="11" t="s">
        <v>129</v>
      </c>
      <c r="C10" s="11" t="s">
        <v>66</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45"/>
  </cols>
  <sheetData>
    <row r="1" customFormat="false" ht="24" hidden="false" customHeight="true" outlineLevel="0" collapsed="false">
      <c r="A1" s="9" t="s">
        <v>131</v>
      </c>
      <c r="B1" s="9"/>
      <c r="C1" s="9"/>
    </row>
    <row r="2" customFormat="false" ht="15" hidden="false" customHeight="false" outlineLevel="0" collapsed="false">
      <c r="A2" s="8" t="s">
        <v>132</v>
      </c>
      <c r="B2" s="8"/>
      <c r="C2" s="8"/>
    </row>
    <row r="4" customFormat="false" ht="19.5" hidden="false" customHeight="true" outlineLevel="0" collapsed="false">
      <c r="A4" s="10" t="s">
        <v>133</v>
      </c>
      <c r="B4" s="10" t="s">
        <v>134</v>
      </c>
      <c r="C4" s="10" t="s">
        <v>135</v>
      </c>
    </row>
    <row r="5" customFormat="false" ht="15" hidden="false" customHeight="false" outlineLevel="0" collapsed="false">
      <c r="A5" s="11" t="s">
        <v>136</v>
      </c>
      <c r="B5" s="19" t="n">
        <v>5</v>
      </c>
      <c r="C5" s="11" t="s">
        <v>137</v>
      </c>
    </row>
    <row r="6" customFormat="false" ht="15" hidden="false" customHeight="false" outlineLevel="0" collapsed="false">
      <c r="A6" s="11" t="s">
        <v>138</v>
      </c>
      <c r="B6" s="19" t="n">
        <v>5</v>
      </c>
      <c r="C6" s="11" t="s">
        <v>139</v>
      </c>
    </row>
    <row r="7" customFormat="false" ht="15" hidden="false" customHeight="false" outlineLevel="0" collapsed="false">
      <c r="A7" s="11" t="s">
        <v>140</v>
      </c>
      <c r="B7" s="19" t="n">
        <v>5</v>
      </c>
      <c r="C7" s="11" t="s">
        <v>141</v>
      </c>
    </row>
    <row r="8" customFormat="false" ht="25.35" hidden="false" customHeight="false" outlineLevel="0" collapsed="false">
      <c r="A8" s="11" t="s">
        <v>142</v>
      </c>
      <c r="B8" s="19" t="n">
        <v>4</v>
      </c>
      <c r="C8" s="11" t="s">
        <v>143</v>
      </c>
    </row>
    <row r="9" customFormat="false" ht="15" hidden="false" customHeight="false" outlineLevel="0" collapsed="false">
      <c r="A9" s="11" t="s">
        <v>144</v>
      </c>
      <c r="B9" s="19" t="n">
        <v>4</v>
      </c>
      <c r="C9" s="11" t="s">
        <v>145</v>
      </c>
    </row>
    <row r="10" customFormat="false" ht="25.35" hidden="false" customHeight="false" outlineLevel="0" collapsed="false">
      <c r="A10" s="11" t="s">
        <v>146</v>
      </c>
      <c r="B10" s="19" t="n">
        <v>2</v>
      </c>
      <c r="C10" s="11" t="s">
        <v>147</v>
      </c>
    </row>
    <row r="11" customFormat="false" ht="15" hidden="false" customHeight="false" outlineLevel="0" collapsed="false">
      <c r="A11" s="5" t="s">
        <v>148</v>
      </c>
      <c r="B11" s="18" t="n">
        <f aca="false">AVERAGE(B5:B10)</f>
        <v>4.16666666666667</v>
      </c>
      <c r="C11" s="16" t="s">
        <v>117</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8"/>
    <col collapsed="false" customWidth="true" hidden="false" outlineLevel="0" max="3" min="3" style="0" width="14"/>
    <col collapsed="false" customWidth="true" hidden="false" outlineLevel="0" max="4" min="4" style="0" width="40"/>
  </cols>
  <sheetData>
    <row r="1" customFormat="false" ht="24" hidden="false" customHeight="true" outlineLevel="0" collapsed="false">
      <c r="A1" s="9" t="s">
        <v>149</v>
      </c>
      <c r="B1" s="9"/>
      <c r="C1" s="9"/>
      <c r="D1" s="9"/>
    </row>
    <row r="2" customFormat="false" ht="15" hidden="false" customHeight="false" outlineLevel="0" collapsed="false">
      <c r="A2" s="8" t="s">
        <v>150</v>
      </c>
      <c r="B2" s="8"/>
      <c r="C2" s="8"/>
      <c r="D2" s="8"/>
    </row>
    <row r="4" customFormat="false" ht="19.5" hidden="false" customHeight="true" outlineLevel="0" collapsed="false">
      <c r="A4" s="10" t="s">
        <v>151</v>
      </c>
      <c r="B4" s="10" t="s">
        <v>152</v>
      </c>
      <c r="C4" s="10" t="s">
        <v>153</v>
      </c>
      <c r="D4" s="10" t="s">
        <v>154</v>
      </c>
    </row>
    <row r="5" customFormat="false" ht="15" hidden="false" customHeight="false" outlineLevel="0" collapsed="false">
      <c r="A5" s="11" t="s">
        <v>155</v>
      </c>
      <c r="B5" s="11" t="s">
        <v>156</v>
      </c>
      <c r="C5" s="19" t="n">
        <v>2</v>
      </c>
      <c r="D5" s="11" t="s">
        <v>157</v>
      </c>
    </row>
    <row r="6" customFormat="false" ht="15" hidden="false" customHeight="false" outlineLevel="0" collapsed="false">
      <c r="A6" s="11" t="s">
        <v>158</v>
      </c>
      <c r="B6" s="11" t="s">
        <v>159</v>
      </c>
      <c r="C6" s="19" t="n">
        <v>3</v>
      </c>
      <c r="D6" s="11" t="s">
        <v>160</v>
      </c>
    </row>
    <row r="7" customFormat="false" ht="15" hidden="false" customHeight="false" outlineLevel="0" collapsed="false">
      <c r="A7" s="11" t="s">
        <v>161</v>
      </c>
      <c r="B7" s="11" t="s">
        <v>162</v>
      </c>
      <c r="C7" s="19" t="n">
        <v>1</v>
      </c>
      <c r="D7" s="11" t="s">
        <v>163</v>
      </c>
    </row>
    <row r="8" customFormat="false" ht="15" hidden="false" customHeight="false" outlineLevel="0" collapsed="false">
      <c r="A8" s="11" t="s">
        <v>164</v>
      </c>
      <c r="B8" s="11" t="s">
        <v>165</v>
      </c>
      <c r="C8" s="19" t="n">
        <v>3</v>
      </c>
      <c r="D8" s="11" t="s">
        <v>166</v>
      </c>
    </row>
    <row r="9" customFormat="false" ht="15" hidden="false" customHeight="false" outlineLevel="0" collapsed="false">
      <c r="A9" s="11" t="s">
        <v>167</v>
      </c>
      <c r="B9" s="11" t="s">
        <v>159</v>
      </c>
      <c r="C9" s="19" t="n">
        <v>3</v>
      </c>
      <c r="D9" s="11" t="s">
        <v>168</v>
      </c>
    </row>
    <row r="11" customFormat="false" ht="15" hidden="false" customHeight="false" outlineLevel="0" collapsed="false">
      <c r="A11" s="5" t="s">
        <v>169</v>
      </c>
      <c r="B11" s="20" t="n">
        <f aca="false">COUNTIF(C5:C9,"&gt;=2")/COUNTA(C5:C9)</f>
        <v>0.8</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16"/>
    <col collapsed="false" customWidth="true" hidden="false" outlineLevel="0" max="4" min="4" style="0" width="45"/>
  </cols>
  <sheetData>
    <row r="1" customFormat="false" ht="24" hidden="false" customHeight="true" outlineLevel="0" collapsed="false">
      <c r="A1" s="9" t="s">
        <v>170</v>
      </c>
      <c r="B1" s="9"/>
      <c r="C1" s="9"/>
      <c r="D1" s="9"/>
    </row>
    <row r="2" customFormat="false" ht="15" hidden="false" customHeight="false" outlineLevel="0" collapsed="false">
      <c r="A2" s="8" t="s">
        <v>171</v>
      </c>
      <c r="B2" s="8"/>
      <c r="C2" s="8"/>
      <c r="D2" s="8"/>
    </row>
    <row r="4" customFormat="false" ht="18" hidden="false" customHeight="true" outlineLevel="0" collapsed="false">
      <c r="A4" s="3" t="s">
        <v>172</v>
      </c>
      <c r="B4" s="3"/>
      <c r="C4" s="3"/>
      <c r="D4" s="3"/>
    </row>
    <row r="5" customFormat="false" ht="19.5" hidden="false" customHeight="true" outlineLevel="0" collapsed="false">
      <c r="A5" s="10" t="s">
        <v>173</v>
      </c>
      <c r="B5" s="10" t="s">
        <v>174</v>
      </c>
      <c r="C5" s="10" t="s">
        <v>175</v>
      </c>
      <c r="D5" s="10" t="s">
        <v>49</v>
      </c>
    </row>
    <row r="6" customFormat="false" ht="15" hidden="false" customHeight="false" outlineLevel="0" collapsed="false">
      <c r="A6" s="14" t="s">
        <v>176</v>
      </c>
      <c r="B6" s="21" t="n">
        <v>52</v>
      </c>
      <c r="C6" s="16" t="s">
        <v>52</v>
      </c>
      <c r="D6" s="16" t="s">
        <v>177</v>
      </c>
    </row>
    <row r="7" customFormat="false" ht="15" hidden="false" customHeight="false" outlineLevel="0" collapsed="false">
      <c r="A7" s="14" t="s">
        <v>178</v>
      </c>
      <c r="B7" s="21" t="n">
        <v>63</v>
      </c>
      <c r="C7" s="22" t="n">
        <f aca="false">B7-B6</f>
        <v>11</v>
      </c>
      <c r="D7" s="16" t="s">
        <v>177</v>
      </c>
    </row>
    <row r="8" customFormat="false" ht="15" hidden="false" customHeight="false" outlineLevel="0" collapsed="false">
      <c r="A8" s="14" t="s">
        <v>179</v>
      </c>
      <c r="B8" s="21" t="n">
        <v>72</v>
      </c>
      <c r="C8" s="22" t="n">
        <f aca="false">B8-B7</f>
        <v>9</v>
      </c>
      <c r="D8" s="16" t="s">
        <v>177</v>
      </c>
    </row>
    <row r="9" customFormat="false" ht="15" hidden="false" customHeight="false" outlineLevel="0" collapsed="false">
      <c r="A9" s="14" t="s">
        <v>180</v>
      </c>
      <c r="B9" s="21" t="n">
        <v>78</v>
      </c>
      <c r="C9" s="22" t="n">
        <f aca="false">B9-B8</f>
        <v>6</v>
      </c>
      <c r="D9" s="16" t="s">
        <v>177</v>
      </c>
    </row>
    <row r="10" customFormat="false" ht="15" hidden="false" customHeight="false" outlineLevel="0" collapsed="false">
      <c r="A10" s="14" t="s">
        <v>181</v>
      </c>
      <c r="B10" s="21" t="n">
        <v>82</v>
      </c>
      <c r="C10" s="22" t="n">
        <f aca="false">B10-B9</f>
        <v>4</v>
      </c>
      <c r="D10" s="16" t="s">
        <v>69</v>
      </c>
    </row>
    <row r="12" customFormat="false" ht="18" hidden="false" customHeight="true" outlineLevel="0" collapsed="false">
      <c r="A12" s="3" t="s">
        <v>182</v>
      </c>
      <c r="B12" s="3"/>
      <c r="C12" s="3"/>
      <c r="D12" s="3"/>
    </row>
    <row r="13" customFormat="false" ht="19.5" hidden="false" customHeight="true" outlineLevel="0" collapsed="false">
      <c r="A13" s="10" t="s">
        <v>173</v>
      </c>
      <c r="B13" s="10" t="s">
        <v>183</v>
      </c>
      <c r="C13" s="10"/>
      <c r="D13" s="10" t="s">
        <v>49</v>
      </c>
    </row>
    <row r="14" customFormat="false" ht="25.35" hidden="false" customHeight="false" outlineLevel="0" collapsed="false">
      <c r="A14" s="11" t="s">
        <v>184</v>
      </c>
      <c r="B14" s="11" t="s">
        <v>185</v>
      </c>
      <c r="C14" s="11"/>
      <c r="D14" s="11" t="s">
        <v>69</v>
      </c>
    </row>
    <row r="15" customFormat="false" ht="25.35" hidden="false" customHeight="false" outlineLevel="0" collapsed="false">
      <c r="A15" s="11" t="s">
        <v>176</v>
      </c>
      <c r="B15" s="11" t="s">
        <v>186</v>
      </c>
      <c r="C15" s="11"/>
      <c r="D15" s="11" t="s">
        <v>69</v>
      </c>
    </row>
    <row r="16" customFormat="false" ht="37.3" hidden="false" customHeight="false" outlineLevel="0" collapsed="false">
      <c r="A16" s="11" t="s">
        <v>179</v>
      </c>
      <c r="B16" s="11" t="s">
        <v>187</v>
      </c>
      <c r="C16" s="11"/>
      <c r="D16" s="11" t="s">
        <v>69</v>
      </c>
    </row>
    <row r="17" customFormat="false" ht="25.35" hidden="false" customHeight="false" outlineLevel="0" collapsed="false">
      <c r="A17" s="11" t="s">
        <v>181</v>
      </c>
      <c r="B17" s="11" t="s">
        <v>188</v>
      </c>
      <c r="C17" s="11"/>
      <c r="D17" s="11" t="s">
        <v>69</v>
      </c>
    </row>
  </sheetData>
  <mergeCells count="4">
    <mergeCell ref="A1:D1"/>
    <mergeCell ref="A2:D2"/>
    <mergeCell ref="A4:D4"/>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3" min="3" style="0" width="16"/>
    <col collapsed="false" customWidth="true" hidden="false" outlineLevel="0" max="4" min="4" style="0" width="45"/>
  </cols>
  <sheetData>
    <row r="1" customFormat="false" ht="24" hidden="false" customHeight="true" outlineLevel="0" collapsed="false">
      <c r="A1" s="9" t="s">
        <v>189</v>
      </c>
      <c r="B1" s="9"/>
      <c r="C1" s="9"/>
      <c r="D1" s="9"/>
    </row>
    <row r="2" customFormat="false" ht="15" hidden="false" customHeight="false" outlineLevel="0" collapsed="false">
      <c r="A2" s="8" t="s">
        <v>190</v>
      </c>
      <c r="B2" s="8"/>
      <c r="C2" s="8"/>
      <c r="D2" s="8"/>
    </row>
    <row r="4" customFormat="false" ht="19.5" hidden="false" customHeight="true" outlineLevel="0" collapsed="false">
      <c r="A4" s="10" t="s">
        <v>133</v>
      </c>
      <c r="B4" s="10" t="s">
        <v>191</v>
      </c>
      <c r="C4" s="10" t="s">
        <v>192</v>
      </c>
      <c r="D4" s="10" t="s">
        <v>49</v>
      </c>
    </row>
    <row r="5" customFormat="false" ht="15" hidden="false" customHeight="false" outlineLevel="0" collapsed="false">
      <c r="A5" s="5" t="s">
        <v>193</v>
      </c>
      <c r="B5" s="23" t="s">
        <v>194</v>
      </c>
      <c r="C5" s="24" t="s">
        <v>195</v>
      </c>
      <c r="D5" s="16" t="s">
        <v>84</v>
      </c>
    </row>
    <row r="6" customFormat="false" ht="15" hidden="false" customHeight="false" outlineLevel="0" collapsed="false">
      <c r="A6" s="5" t="s">
        <v>136</v>
      </c>
      <c r="B6" s="24" t="s">
        <v>195</v>
      </c>
      <c r="C6" s="24" t="s">
        <v>195</v>
      </c>
      <c r="D6" s="16" t="s">
        <v>84</v>
      </c>
    </row>
    <row r="7" customFormat="false" ht="15" hidden="false" customHeight="false" outlineLevel="0" collapsed="false">
      <c r="A7" s="5" t="s">
        <v>138</v>
      </c>
      <c r="B7" s="23" t="s">
        <v>194</v>
      </c>
      <c r="C7" s="24" t="s">
        <v>195</v>
      </c>
      <c r="D7" s="16" t="s">
        <v>84</v>
      </c>
    </row>
    <row r="8" customFormat="false" ht="15" hidden="false" customHeight="false" outlineLevel="0" collapsed="false">
      <c r="A8" s="5" t="s">
        <v>196</v>
      </c>
      <c r="B8" s="23" t="s">
        <v>194</v>
      </c>
      <c r="C8" s="23" t="s">
        <v>194</v>
      </c>
      <c r="D8" s="16" t="s">
        <v>84</v>
      </c>
    </row>
    <row r="9" customFormat="false" ht="15" hidden="false" customHeight="false" outlineLevel="0" collapsed="false">
      <c r="A9" s="5" t="s">
        <v>197</v>
      </c>
      <c r="B9" s="25" t="s">
        <v>198</v>
      </c>
      <c r="C9" s="24" t="s">
        <v>195</v>
      </c>
      <c r="D9" s="16" t="s">
        <v>84</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s>
  <sheetData>
    <row r="1" customFormat="false" ht="24" hidden="false" customHeight="true" outlineLevel="0" collapsed="false">
      <c r="A1" s="9" t="s">
        <v>199</v>
      </c>
      <c r="B1" s="9"/>
    </row>
    <row r="2" customFormat="false" ht="15" hidden="false" customHeight="false" outlineLevel="0" collapsed="false">
      <c r="A2" s="8" t="s">
        <v>200</v>
      </c>
      <c r="B2" s="8"/>
    </row>
    <row r="4" customFormat="false" ht="18" hidden="false" customHeight="true" outlineLevel="0" collapsed="false">
      <c r="A4" s="3" t="s">
        <v>201</v>
      </c>
      <c r="B4" s="3"/>
    </row>
    <row r="5" customFormat="false" ht="19.5" hidden="false" customHeight="true" outlineLevel="0" collapsed="false">
      <c r="A5" s="10" t="s">
        <v>191</v>
      </c>
      <c r="B5" s="10" t="s">
        <v>202</v>
      </c>
    </row>
    <row r="6" customFormat="false" ht="25.35" hidden="false" customHeight="false" outlineLevel="0" collapsed="false">
      <c r="A6" s="17" t="s">
        <v>203</v>
      </c>
      <c r="B6" s="17" t="s">
        <v>204</v>
      </c>
    </row>
    <row r="7" customFormat="false" ht="25.35" hidden="false" customHeight="false" outlineLevel="0" collapsed="false">
      <c r="A7" s="17" t="s">
        <v>205</v>
      </c>
      <c r="B7" s="17" t="s">
        <v>206</v>
      </c>
    </row>
    <row r="8" customFormat="false" ht="25.35" hidden="false" customHeight="false" outlineLevel="0" collapsed="false">
      <c r="A8" s="17" t="s">
        <v>207</v>
      </c>
      <c r="B8" s="17" t="s">
        <v>208</v>
      </c>
    </row>
    <row r="9" customFormat="false" ht="25.35" hidden="false" customHeight="false" outlineLevel="0" collapsed="false">
      <c r="A9" s="17" t="s">
        <v>136</v>
      </c>
      <c r="B9" s="17" t="s">
        <v>209</v>
      </c>
    </row>
    <row r="10" customFormat="false" ht="25.35" hidden="false" customHeight="false" outlineLevel="0" collapsed="false">
      <c r="A10" s="17" t="s">
        <v>210</v>
      </c>
      <c r="B10" s="17" t="s">
        <v>211</v>
      </c>
    </row>
    <row r="11" customFormat="false" ht="25.35" hidden="false" customHeight="false" outlineLevel="0" collapsed="false">
      <c r="A11" s="17" t="s">
        <v>212</v>
      </c>
      <c r="B11" s="17" t="s">
        <v>213</v>
      </c>
    </row>
    <row r="13" customFormat="false" ht="18" hidden="false" customHeight="true" outlineLevel="0" collapsed="false">
      <c r="A13" s="3" t="s">
        <v>214</v>
      </c>
      <c r="B13" s="3"/>
    </row>
    <row r="14" customFormat="false" ht="19.5" hidden="false" customHeight="true" outlineLevel="0" collapsed="false">
      <c r="A14" s="10" t="s">
        <v>215</v>
      </c>
      <c r="B14" s="10" t="s">
        <v>216</v>
      </c>
    </row>
    <row r="15" customFormat="false" ht="15" hidden="false" customHeight="false" outlineLevel="0" collapsed="false">
      <c r="A15" s="5" t="s">
        <v>217</v>
      </c>
      <c r="B15" s="23" t="s">
        <v>218</v>
      </c>
    </row>
    <row r="16" customFormat="false" ht="15" hidden="false" customHeight="false" outlineLevel="0" collapsed="false">
      <c r="A16" s="5" t="s">
        <v>219</v>
      </c>
      <c r="B16" s="23" t="s">
        <v>218</v>
      </c>
    </row>
    <row r="17" customFormat="false" ht="15" hidden="false" customHeight="false" outlineLevel="0" collapsed="false">
      <c r="A17" s="5" t="s">
        <v>220</v>
      </c>
      <c r="B17" s="25" t="s">
        <v>221</v>
      </c>
    </row>
    <row r="18" customFormat="false" ht="15" hidden="false" customHeight="false" outlineLevel="0" collapsed="false">
      <c r="A18" s="5" t="s">
        <v>222</v>
      </c>
      <c r="B18" s="25" t="s">
        <v>223</v>
      </c>
    </row>
    <row r="20" customFormat="false" ht="18" hidden="false" customHeight="true" outlineLevel="0" collapsed="false">
      <c r="A20" s="3" t="s">
        <v>224</v>
      </c>
      <c r="B20" s="3"/>
    </row>
    <row r="21" customFormat="false" ht="19.5" hidden="false" customHeight="true" outlineLevel="0" collapsed="false">
      <c r="A21" s="10" t="s">
        <v>225</v>
      </c>
      <c r="B21" s="10" t="s">
        <v>226</v>
      </c>
    </row>
    <row r="22" customFormat="false" ht="15" hidden="false" customHeight="false" outlineLevel="0" collapsed="false">
      <c r="A22" s="17" t="s">
        <v>227</v>
      </c>
      <c r="B22" s="17" t="s">
        <v>228</v>
      </c>
    </row>
    <row r="23" customFormat="false" ht="15" hidden="false" customHeight="false" outlineLevel="0" collapsed="false">
      <c r="A23" s="17" t="s">
        <v>229</v>
      </c>
      <c r="B23" s="17" t="s">
        <v>230</v>
      </c>
    </row>
    <row r="24" customFormat="false" ht="15" hidden="false" customHeight="false" outlineLevel="0" collapsed="false">
      <c r="A24" s="17" t="s">
        <v>192</v>
      </c>
      <c r="B24" s="17" t="s">
        <v>231</v>
      </c>
    </row>
    <row r="25" customFormat="false" ht="15" hidden="false" customHeight="false" outlineLevel="0" collapsed="false">
      <c r="A25" s="17" t="s">
        <v>232</v>
      </c>
      <c r="B25" s="17" t="s">
        <v>233</v>
      </c>
    </row>
  </sheetData>
  <mergeCells count="5">
    <mergeCell ref="A1:B1"/>
    <mergeCell ref="A2:B2"/>
    <mergeCell ref="A4:B4"/>
    <mergeCell ref="A13:B13"/>
    <mergeCell ref="A20:B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6"/>
    <col collapsed="false" customWidth="true" hidden="false" outlineLevel="0" max="4" min="4" style="0" width="45"/>
  </cols>
  <sheetData>
    <row r="1" customFormat="false" ht="24" hidden="false" customHeight="true" outlineLevel="0" collapsed="false">
      <c r="A1" s="9" t="s">
        <v>234</v>
      </c>
      <c r="B1" s="9"/>
      <c r="C1" s="9"/>
      <c r="D1" s="9"/>
    </row>
    <row r="2" customFormat="false" ht="15" hidden="false" customHeight="false" outlineLevel="0" collapsed="false">
      <c r="A2" s="8" t="s">
        <v>235</v>
      </c>
      <c r="B2" s="8"/>
      <c r="C2" s="8"/>
      <c r="D2" s="8"/>
    </row>
    <row r="4" customFormat="false" ht="18" hidden="false" customHeight="true" outlineLevel="0" collapsed="false">
      <c r="A4" s="3" t="s">
        <v>236</v>
      </c>
      <c r="B4" s="3"/>
      <c r="C4" s="3"/>
      <c r="D4" s="3"/>
    </row>
    <row r="5" customFormat="false" ht="19.5" hidden="false" customHeight="true" outlineLevel="0" collapsed="false">
      <c r="A5" s="10" t="s">
        <v>237</v>
      </c>
      <c r="B5" s="10" t="s">
        <v>238</v>
      </c>
      <c r="C5" s="10" t="s">
        <v>239</v>
      </c>
      <c r="D5" s="10" t="s">
        <v>49</v>
      </c>
    </row>
    <row r="6" customFormat="false" ht="15" hidden="false" customHeight="false" outlineLevel="0" collapsed="false">
      <c r="A6" s="5" t="s">
        <v>7</v>
      </c>
      <c r="B6" s="26" t="n">
        <v>8.5</v>
      </c>
      <c r="C6" s="27" t="n">
        <v>0.25</v>
      </c>
      <c r="D6" s="16" t="s">
        <v>240</v>
      </c>
    </row>
    <row r="7" customFormat="false" ht="15" hidden="false" customHeight="false" outlineLevel="0" collapsed="false">
      <c r="A7" s="5" t="s">
        <v>9</v>
      </c>
      <c r="B7" s="26" t="n">
        <v>7.6</v>
      </c>
      <c r="C7" s="27" t="n">
        <v>0.25</v>
      </c>
      <c r="D7" s="16" t="s">
        <v>240</v>
      </c>
    </row>
    <row r="8" customFormat="false" ht="15" hidden="false" customHeight="false" outlineLevel="0" collapsed="false">
      <c r="A8" s="5" t="s">
        <v>11</v>
      </c>
      <c r="B8" s="26" t="n">
        <v>8.8</v>
      </c>
      <c r="C8" s="27" t="n">
        <v>0.25</v>
      </c>
      <c r="D8" s="16" t="s">
        <v>240</v>
      </c>
    </row>
    <row r="9" customFormat="false" ht="15" hidden="false" customHeight="false" outlineLevel="0" collapsed="false">
      <c r="A9" s="5" t="s">
        <v>241</v>
      </c>
      <c r="B9" s="26" t="n">
        <v>8.4</v>
      </c>
      <c r="C9" s="27" t="n">
        <v>0.25</v>
      </c>
      <c r="D9" s="16" t="s">
        <v>240</v>
      </c>
    </row>
    <row r="10" customFormat="false" ht="15" hidden="false" customHeight="false" outlineLevel="0" collapsed="false">
      <c r="A10" s="28" t="s">
        <v>242</v>
      </c>
      <c r="B10" s="29" t="n">
        <f aca="false">SUMPRODUCT(B6:B9,C6:C9)</f>
        <v>8.325</v>
      </c>
      <c r="C10" s="30" t="n">
        <f aca="false">SUM(C6:C9)</f>
        <v>1</v>
      </c>
      <c r="D10" s="31" t="s">
        <v>243</v>
      </c>
    </row>
    <row r="12" customFormat="false" ht="18" hidden="false" customHeight="true" outlineLevel="0" collapsed="false">
      <c r="A12" s="3" t="s">
        <v>244</v>
      </c>
      <c r="B12" s="3"/>
      <c r="C12" s="3"/>
      <c r="D12" s="3"/>
    </row>
    <row r="13" customFormat="false" ht="19.5" hidden="false" customHeight="true" outlineLevel="0" collapsed="false">
      <c r="A13" s="10" t="s">
        <v>245</v>
      </c>
      <c r="B13" s="10" t="s">
        <v>246</v>
      </c>
      <c r="C13" s="10"/>
      <c r="D13" s="10" t="s">
        <v>247</v>
      </c>
    </row>
    <row r="14" customFormat="false" ht="15" hidden="false" customHeight="false" outlineLevel="0" collapsed="false">
      <c r="A14" s="5" t="s">
        <v>248</v>
      </c>
      <c r="B14" s="27" t="n">
        <v>0.4</v>
      </c>
      <c r="C14" s="32"/>
      <c r="D14" s="16" t="s">
        <v>249</v>
      </c>
    </row>
    <row r="15" customFormat="false" ht="15" hidden="false" customHeight="false" outlineLevel="0" collapsed="false">
      <c r="A15" s="5" t="s">
        <v>250</v>
      </c>
      <c r="B15" s="27" t="n">
        <v>0.3</v>
      </c>
      <c r="C15" s="32"/>
      <c r="D15" s="16" t="s">
        <v>249</v>
      </c>
    </row>
    <row r="16" customFormat="false" ht="15" hidden="false" customHeight="false" outlineLevel="0" collapsed="false">
      <c r="A16" s="5" t="s">
        <v>251</v>
      </c>
      <c r="B16" s="27" t="n">
        <v>0.2</v>
      </c>
      <c r="C16" s="32"/>
      <c r="D16" s="16" t="s">
        <v>249</v>
      </c>
    </row>
    <row r="17" customFormat="false" ht="15" hidden="false" customHeight="false" outlineLevel="0" collapsed="false">
      <c r="A17" s="5" t="s">
        <v>252</v>
      </c>
      <c r="B17" s="27" t="n">
        <v>0.1</v>
      </c>
      <c r="C17" s="32"/>
      <c r="D17" s="16" t="s">
        <v>249</v>
      </c>
    </row>
    <row r="18" customFormat="false" ht="15" hidden="false" customHeight="false" outlineLevel="0" collapsed="false">
      <c r="A18" s="5" t="s">
        <v>253</v>
      </c>
      <c r="B18" s="27" t="n">
        <v>0.35</v>
      </c>
      <c r="C18" s="32"/>
      <c r="D18" s="16" t="s">
        <v>241</v>
      </c>
    </row>
    <row r="19" customFormat="false" ht="15" hidden="false" customHeight="false" outlineLevel="0" collapsed="false">
      <c r="A19" s="5" t="s">
        <v>254</v>
      </c>
      <c r="B19" s="27" t="n">
        <v>0.35</v>
      </c>
      <c r="C19" s="32"/>
      <c r="D19" s="16" t="s">
        <v>241</v>
      </c>
    </row>
    <row r="20" customFormat="false" ht="15" hidden="false" customHeight="false" outlineLevel="0" collapsed="false">
      <c r="A20" s="5" t="s">
        <v>255</v>
      </c>
      <c r="B20" s="27" t="n">
        <v>0.3</v>
      </c>
      <c r="C20" s="32"/>
      <c r="D20" s="16" t="s">
        <v>241</v>
      </c>
    </row>
    <row r="22" customFormat="false" ht="18" hidden="false" customHeight="true" outlineLevel="0" collapsed="false">
      <c r="A22" s="3" t="s">
        <v>256</v>
      </c>
      <c r="B22" s="3"/>
      <c r="C22" s="3"/>
      <c r="D22" s="3"/>
    </row>
    <row r="23" customFormat="false" ht="19.5" hidden="false" customHeight="true" outlineLevel="0" collapsed="false">
      <c r="A23" s="10" t="s">
        <v>257</v>
      </c>
      <c r="B23" s="10" t="s">
        <v>258</v>
      </c>
      <c r="C23" s="10" t="s">
        <v>259</v>
      </c>
      <c r="D23" s="10" t="s">
        <v>154</v>
      </c>
    </row>
    <row r="24" customFormat="false" ht="15" hidden="false" customHeight="false" outlineLevel="0" collapsed="false">
      <c r="A24" s="11" t="s">
        <v>260</v>
      </c>
      <c r="B24" s="11" t="s">
        <v>261</v>
      </c>
      <c r="C24" s="11" t="s">
        <v>262</v>
      </c>
      <c r="D24" s="11"/>
    </row>
    <row r="25" customFormat="false" ht="15" hidden="false" customHeight="false" outlineLevel="0" collapsed="false">
      <c r="A25" s="11" t="s">
        <v>9</v>
      </c>
      <c r="B25" s="11" t="s">
        <v>263</v>
      </c>
      <c r="C25" s="11" t="s">
        <v>264</v>
      </c>
      <c r="D25" s="11"/>
    </row>
    <row r="26" customFormat="false" ht="15" hidden="false" customHeight="false" outlineLevel="0" collapsed="false">
      <c r="A26" s="11" t="s">
        <v>11</v>
      </c>
      <c r="B26" s="11" t="s">
        <v>261</v>
      </c>
      <c r="C26" s="11" t="s">
        <v>265</v>
      </c>
      <c r="D26" s="11"/>
    </row>
    <row r="27" customFormat="false" ht="15" hidden="false" customHeight="false" outlineLevel="0" collapsed="false">
      <c r="A27" s="5" t="s">
        <v>266</v>
      </c>
      <c r="B27" s="26" t="n">
        <v>8.8</v>
      </c>
      <c r="C27" s="6" t="s">
        <v>267</v>
      </c>
      <c r="D27" s="16" t="s">
        <v>268</v>
      </c>
    </row>
    <row r="29" customFormat="false" ht="18" hidden="false" customHeight="true" outlineLevel="0" collapsed="false">
      <c r="A29" s="3" t="s">
        <v>269</v>
      </c>
      <c r="B29" s="3"/>
      <c r="C29" s="3"/>
      <c r="D29" s="3"/>
    </row>
    <row r="30" customFormat="false" ht="19.5" hidden="false" customHeight="true" outlineLevel="0" collapsed="false">
      <c r="A30" s="10" t="s">
        <v>270</v>
      </c>
      <c r="B30" s="10" t="s">
        <v>47</v>
      </c>
      <c r="C30" s="10"/>
      <c r="D30" s="10" t="s">
        <v>154</v>
      </c>
    </row>
    <row r="31" customFormat="false" ht="25.35" hidden="false" customHeight="false" outlineLevel="0" collapsed="false">
      <c r="A31" s="11" t="s">
        <v>271</v>
      </c>
      <c r="B31" s="11" t="s">
        <v>272</v>
      </c>
      <c r="C31" s="11"/>
      <c r="D31" s="11" t="s">
        <v>273</v>
      </c>
    </row>
    <row r="32" customFormat="false" ht="15" hidden="false" customHeight="false" outlineLevel="0" collapsed="false">
      <c r="A32" s="11" t="s">
        <v>274</v>
      </c>
      <c r="B32" s="11" t="s">
        <v>275</v>
      </c>
      <c r="C32" s="11"/>
      <c r="D32" s="11"/>
    </row>
    <row r="33" customFormat="false" ht="15" hidden="false" customHeight="false" outlineLevel="0" collapsed="false">
      <c r="A33" s="11" t="s">
        <v>276</v>
      </c>
      <c r="B33" s="11" t="s">
        <v>277</v>
      </c>
      <c r="C33" s="11"/>
      <c r="D33" s="11"/>
    </row>
    <row r="34" customFormat="false" ht="15" hidden="false" customHeight="false" outlineLevel="0" collapsed="false">
      <c r="A34" s="11" t="s">
        <v>278</v>
      </c>
      <c r="B34" s="11" t="s">
        <v>279</v>
      </c>
      <c r="C34" s="11"/>
      <c r="D34" s="11"/>
    </row>
    <row r="35" customFormat="false" ht="15" hidden="false" customHeight="false" outlineLevel="0" collapsed="false">
      <c r="A35" s="11" t="s">
        <v>280</v>
      </c>
      <c r="B35" s="11" t="s">
        <v>281</v>
      </c>
      <c r="C35" s="11"/>
      <c r="D35" s="11"/>
    </row>
    <row r="36" customFormat="false" ht="15" hidden="false" customHeight="false" outlineLevel="0" collapsed="false">
      <c r="A36" s="11" t="s">
        <v>282</v>
      </c>
      <c r="B36" s="11" t="s">
        <v>283</v>
      </c>
      <c r="C36" s="11"/>
      <c r="D36" s="11"/>
    </row>
  </sheetData>
  <mergeCells count="6">
    <mergeCell ref="A1:D1"/>
    <mergeCell ref="A2:D2"/>
    <mergeCell ref="A4:D4"/>
    <mergeCell ref="A12:D12"/>
    <mergeCell ref="A22:D22"/>
    <mergeCell ref="A29:D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6" min="2" style="0" width="14"/>
    <col collapsed="false" customWidth="true" hidden="false" outlineLevel="0" max="7" min="7" style="0" width="10"/>
  </cols>
  <sheetData>
    <row r="1" customFormat="false" ht="24" hidden="false" customHeight="true" outlineLevel="0" collapsed="false">
      <c r="A1" s="9" t="s">
        <v>284</v>
      </c>
      <c r="B1" s="9"/>
      <c r="C1" s="9"/>
      <c r="D1" s="9"/>
      <c r="E1" s="9"/>
      <c r="F1" s="9"/>
      <c r="G1" s="9"/>
    </row>
    <row r="2" customFormat="false" ht="15" hidden="false" customHeight="false" outlineLevel="0" collapsed="false">
      <c r="A2" s="8" t="s">
        <v>285</v>
      </c>
      <c r="B2" s="8"/>
      <c r="C2" s="8"/>
      <c r="D2" s="8"/>
      <c r="E2" s="8"/>
      <c r="F2" s="8"/>
      <c r="G2" s="8"/>
    </row>
    <row r="4" customFormat="false" ht="18" hidden="false" customHeight="true" outlineLevel="0" collapsed="false">
      <c r="A4" s="3" t="s">
        <v>286</v>
      </c>
      <c r="B4" s="3"/>
      <c r="C4" s="3"/>
      <c r="D4" s="3"/>
      <c r="E4" s="3"/>
      <c r="F4" s="3"/>
      <c r="G4" s="3"/>
    </row>
    <row r="5" customFormat="false" ht="19.5" hidden="false" customHeight="true" outlineLevel="0" collapsed="false">
      <c r="A5" s="10" t="s">
        <v>287</v>
      </c>
      <c r="B5" s="10" t="s">
        <v>7</v>
      </c>
      <c r="C5" s="10" t="s">
        <v>9</v>
      </c>
      <c r="D5" s="10" t="s">
        <v>11</v>
      </c>
      <c r="E5" s="10" t="s">
        <v>241</v>
      </c>
      <c r="F5" s="10" t="s">
        <v>288</v>
      </c>
      <c r="G5" s="10" t="s">
        <v>289</v>
      </c>
    </row>
    <row r="6" customFormat="false" ht="15" hidden="false" customHeight="false" outlineLevel="0" collapsed="false">
      <c r="A6" s="7" t="s">
        <v>290</v>
      </c>
      <c r="B6" s="33" t="n">
        <v>8.5</v>
      </c>
      <c r="C6" s="33" t="n">
        <v>7.6</v>
      </c>
      <c r="D6" s="33" t="n">
        <v>8.8</v>
      </c>
      <c r="E6" s="33" t="n">
        <v>8.4</v>
      </c>
      <c r="F6" s="34" t="n">
        <f aca="false">AVERAGE(B6:E6)</f>
        <v>8.325</v>
      </c>
      <c r="G6" s="35" t="n">
        <f aca="false">RANK(F6,$F$6:$F$8)</f>
        <v>1</v>
      </c>
    </row>
    <row r="7" customFormat="false" ht="15" hidden="false" customHeight="false" outlineLevel="0" collapsed="false">
      <c r="A7" s="7" t="s">
        <v>291</v>
      </c>
      <c r="B7" s="33" t="n">
        <v>8</v>
      </c>
      <c r="C7" s="33" t="n">
        <v>7.7</v>
      </c>
      <c r="D7" s="33" t="n">
        <v>7.9</v>
      </c>
      <c r="E7" s="33" t="n">
        <v>8.5</v>
      </c>
      <c r="F7" s="34" t="n">
        <f aca="false">AVERAGE(B7:E7)</f>
        <v>8.025</v>
      </c>
      <c r="G7" s="35" t="n">
        <f aca="false">RANK(F7,$F$6:$F$8)</f>
        <v>3</v>
      </c>
    </row>
    <row r="8" customFormat="false" ht="15" hidden="false" customHeight="false" outlineLevel="0" collapsed="false">
      <c r="A8" s="7" t="s">
        <v>292</v>
      </c>
      <c r="B8" s="33" t="n">
        <v>8.4</v>
      </c>
      <c r="C8" s="33" t="n">
        <v>7.3</v>
      </c>
      <c r="D8" s="33" t="n">
        <v>8.1</v>
      </c>
      <c r="E8" s="33" t="n">
        <v>8.6</v>
      </c>
      <c r="F8" s="34" t="n">
        <f aca="false">AVERAGE(B8:E8)</f>
        <v>8.1</v>
      </c>
      <c r="G8" s="35" t="n">
        <f aca="false">RANK(F8,$F$6:$F$8)</f>
        <v>2</v>
      </c>
    </row>
    <row r="10" customFormat="false" ht="18" hidden="false" customHeight="true" outlineLevel="0" collapsed="false">
      <c r="A10" s="3" t="s">
        <v>293</v>
      </c>
      <c r="B10" s="3"/>
      <c r="C10" s="3"/>
      <c r="D10" s="3"/>
      <c r="E10" s="3"/>
      <c r="F10" s="3"/>
      <c r="G10" s="3"/>
    </row>
    <row r="11" customFormat="false" ht="19.5" hidden="false" customHeight="true" outlineLevel="0" collapsed="false">
      <c r="A11" s="10" t="s">
        <v>287</v>
      </c>
      <c r="B11" s="10" t="s">
        <v>237</v>
      </c>
      <c r="C11" s="10" t="s">
        <v>135</v>
      </c>
      <c r="D11" s="10"/>
      <c r="E11" s="10"/>
      <c r="F11" s="10"/>
      <c r="G11" s="10"/>
    </row>
    <row r="12" customFormat="false" ht="42" hidden="false" customHeight="true" outlineLevel="0" collapsed="false">
      <c r="A12" s="5" t="s">
        <v>290</v>
      </c>
      <c r="B12" s="5" t="s">
        <v>7</v>
      </c>
      <c r="C12" s="6" t="s">
        <v>294</v>
      </c>
      <c r="D12" s="6"/>
      <c r="E12" s="6"/>
      <c r="F12" s="6"/>
      <c r="G12" s="6"/>
    </row>
    <row r="13" customFormat="false" ht="42" hidden="false" customHeight="true" outlineLevel="0" collapsed="false">
      <c r="A13" s="5" t="s">
        <v>291</v>
      </c>
      <c r="B13" s="5" t="s">
        <v>7</v>
      </c>
      <c r="C13" s="6" t="s">
        <v>295</v>
      </c>
      <c r="D13" s="6"/>
      <c r="E13" s="6"/>
      <c r="F13" s="6"/>
      <c r="G13" s="6"/>
    </row>
    <row r="14" customFormat="false" ht="42" hidden="false" customHeight="true" outlineLevel="0" collapsed="false">
      <c r="A14" s="5" t="s">
        <v>292</v>
      </c>
      <c r="B14" s="5" t="s">
        <v>7</v>
      </c>
      <c r="C14" s="6" t="s">
        <v>296</v>
      </c>
      <c r="D14" s="6"/>
      <c r="E14" s="6"/>
      <c r="F14" s="6"/>
      <c r="G14" s="6"/>
    </row>
    <row r="15" customFormat="false" ht="42" hidden="false" customHeight="true" outlineLevel="0" collapsed="false">
      <c r="A15" s="5" t="s">
        <v>290</v>
      </c>
      <c r="B15" s="5" t="s">
        <v>9</v>
      </c>
      <c r="C15" s="6" t="s">
        <v>297</v>
      </c>
      <c r="D15" s="6"/>
      <c r="E15" s="6"/>
      <c r="F15" s="6"/>
      <c r="G15" s="6"/>
    </row>
    <row r="16" customFormat="false" ht="42" hidden="false" customHeight="true" outlineLevel="0" collapsed="false">
      <c r="A16" s="5" t="s">
        <v>291</v>
      </c>
      <c r="B16" s="5" t="s">
        <v>9</v>
      </c>
      <c r="C16" s="6" t="s">
        <v>298</v>
      </c>
      <c r="D16" s="6"/>
      <c r="E16" s="6"/>
      <c r="F16" s="6"/>
      <c r="G16" s="6"/>
    </row>
    <row r="17" customFormat="false" ht="42" hidden="false" customHeight="true" outlineLevel="0" collapsed="false">
      <c r="A17" s="5" t="s">
        <v>292</v>
      </c>
      <c r="B17" s="5" t="s">
        <v>9</v>
      </c>
      <c r="C17" s="6" t="s">
        <v>299</v>
      </c>
      <c r="D17" s="6"/>
      <c r="E17" s="6"/>
      <c r="F17" s="6"/>
      <c r="G17" s="6"/>
    </row>
    <row r="18" customFormat="false" ht="42" hidden="false" customHeight="true" outlineLevel="0" collapsed="false">
      <c r="A18" s="5" t="s">
        <v>290</v>
      </c>
      <c r="B18" s="5" t="s">
        <v>11</v>
      </c>
      <c r="C18" s="6" t="s">
        <v>300</v>
      </c>
      <c r="D18" s="6"/>
      <c r="E18" s="6"/>
      <c r="F18" s="6"/>
      <c r="G18" s="6"/>
    </row>
    <row r="19" customFormat="false" ht="42" hidden="false" customHeight="true" outlineLevel="0" collapsed="false">
      <c r="A19" s="5" t="s">
        <v>291</v>
      </c>
      <c r="B19" s="5" t="s">
        <v>11</v>
      </c>
      <c r="C19" s="6" t="s">
        <v>301</v>
      </c>
      <c r="D19" s="6"/>
      <c r="E19" s="6"/>
      <c r="F19" s="6"/>
      <c r="G19" s="6"/>
    </row>
    <row r="20" customFormat="false" ht="42" hidden="false" customHeight="true" outlineLevel="0" collapsed="false">
      <c r="A20" s="5" t="s">
        <v>292</v>
      </c>
      <c r="B20" s="5" t="s">
        <v>11</v>
      </c>
      <c r="C20" s="6" t="s">
        <v>302</v>
      </c>
      <c r="D20" s="6"/>
      <c r="E20" s="6"/>
      <c r="F20" s="6"/>
      <c r="G20" s="6"/>
    </row>
    <row r="21" customFormat="false" ht="42" hidden="false" customHeight="true" outlineLevel="0" collapsed="false">
      <c r="A21" s="5" t="s">
        <v>290</v>
      </c>
      <c r="B21" s="5" t="s">
        <v>241</v>
      </c>
      <c r="C21" s="6" t="s">
        <v>303</v>
      </c>
      <c r="D21" s="6"/>
      <c r="E21" s="6"/>
      <c r="F21" s="6"/>
      <c r="G21" s="6"/>
    </row>
    <row r="22" customFormat="false" ht="42" hidden="false" customHeight="true" outlineLevel="0" collapsed="false">
      <c r="A22" s="5" t="s">
        <v>291</v>
      </c>
      <c r="B22" s="5" t="s">
        <v>241</v>
      </c>
      <c r="C22" s="6" t="s">
        <v>304</v>
      </c>
      <c r="D22" s="6"/>
      <c r="E22" s="6"/>
      <c r="F22" s="6"/>
      <c r="G22" s="6"/>
    </row>
    <row r="23" customFormat="false" ht="42" hidden="false" customHeight="true" outlineLevel="0" collapsed="false">
      <c r="A23" s="5" t="s">
        <v>292</v>
      </c>
      <c r="B23" s="5" t="s">
        <v>241</v>
      </c>
      <c r="C23" s="6" t="s">
        <v>305</v>
      </c>
      <c r="D23" s="6"/>
      <c r="E23" s="6"/>
      <c r="F23" s="6"/>
      <c r="G23" s="6"/>
    </row>
    <row r="25" customFormat="false" ht="18" hidden="false" customHeight="true" outlineLevel="0" collapsed="false">
      <c r="A25" s="3" t="s">
        <v>306</v>
      </c>
      <c r="B25" s="3"/>
      <c r="C25" s="3"/>
      <c r="D25" s="3"/>
      <c r="E25" s="3"/>
      <c r="F25" s="3"/>
      <c r="G25" s="3"/>
    </row>
    <row r="26" customFormat="false" ht="19.5" hidden="false" customHeight="true" outlineLevel="0" collapsed="false">
      <c r="A26" s="10" t="s">
        <v>287</v>
      </c>
      <c r="B26" s="10" t="s">
        <v>307</v>
      </c>
      <c r="C26" s="10" t="s">
        <v>308</v>
      </c>
    </row>
    <row r="27" customFormat="false" ht="15" hidden="false" customHeight="false" outlineLevel="0" collapsed="false">
      <c r="A27" s="7" t="s">
        <v>291</v>
      </c>
      <c r="B27" s="6" t="s">
        <v>309</v>
      </c>
      <c r="C27" s="6"/>
      <c r="D27" s="6"/>
      <c r="E27" s="16" t="s">
        <v>310</v>
      </c>
      <c r="F27" s="16"/>
      <c r="G27" s="16"/>
    </row>
    <row r="28" customFormat="false" ht="15" hidden="false" customHeight="false" outlineLevel="0" collapsed="false">
      <c r="A28" s="7" t="s">
        <v>292</v>
      </c>
      <c r="B28" s="6" t="s">
        <v>311</v>
      </c>
      <c r="C28" s="6"/>
      <c r="D28" s="6"/>
      <c r="E28" s="16" t="s">
        <v>312</v>
      </c>
      <c r="F28" s="16"/>
      <c r="G28" s="16"/>
    </row>
    <row r="30" customFormat="false" ht="55.5" hidden="false" customHeight="true" outlineLevel="0" collapsed="false">
      <c r="A30" s="8" t="s">
        <v>313</v>
      </c>
      <c r="B30" s="8"/>
      <c r="C30" s="8"/>
      <c r="D30" s="8"/>
      <c r="E30" s="8"/>
      <c r="F30" s="8"/>
      <c r="G30" s="8"/>
    </row>
  </sheetData>
  <mergeCells count="22">
    <mergeCell ref="A1:G1"/>
    <mergeCell ref="A2:G2"/>
    <mergeCell ref="A4:G4"/>
    <mergeCell ref="A10:G10"/>
    <mergeCell ref="C12:G12"/>
    <mergeCell ref="C13:G13"/>
    <mergeCell ref="C14:G14"/>
    <mergeCell ref="C15:G15"/>
    <mergeCell ref="C16:G16"/>
    <mergeCell ref="C17:G17"/>
    <mergeCell ref="C18:G18"/>
    <mergeCell ref="C19:G19"/>
    <mergeCell ref="C20:G20"/>
    <mergeCell ref="C21:G21"/>
    <mergeCell ref="C22:G22"/>
    <mergeCell ref="C23:G23"/>
    <mergeCell ref="A25:G25"/>
    <mergeCell ref="B27:D27"/>
    <mergeCell ref="E27:G27"/>
    <mergeCell ref="B28:D28"/>
    <mergeCell ref="E28:G28"/>
    <mergeCell ref="A30:G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3" min="3" style="0" width="55"/>
  </cols>
  <sheetData>
    <row r="1" customFormat="false" ht="24" hidden="false" customHeight="true" outlineLevel="0" collapsed="false">
      <c r="A1" s="9" t="s">
        <v>314</v>
      </c>
      <c r="B1" s="9"/>
      <c r="C1" s="9"/>
    </row>
    <row r="2" customFormat="false" ht="15" hidden="false" customHeight="false" outlineLevel="0" collapsed="false">
      <c r="A2" s="8" t="s">
        <v>315</v>
      </c>
      <c r="B2" s="8"/>
      <c r="C2" s="8"/>
    </row>
    <row r="4" customFormat="false" ht="19.5" hidden="false" customHeight="true" outlineLevel="0" collapsed="false">
      <c r="A4" s="10" t="s">
        <v>316</v>
      </c>
      <c r="B4" s="10" t="s">
        <v>258</v>
      </c>
      <c r="C4" s="10" t="s">
        <v>154</v>
      </c>
    </row>
    <row r="5" customFormat="false" ht="15" hidden="false" customHeight="false" outlineLevel="0" collapsed="false">
      <c r="A5" s="5" t="s">
        <v>317</v>
      </c>
      <c r="B5" s="25" t="s">
        <v>318</v>
      </c>
      <c r="C5" s="6" t="s">
        <v>319</v>
      </c>
    </row>
    <row r="6" customFormat="false" ht="15" hidden="false" customHeight="false" outlineLevel="0" collapsed="false">
      <c r="A6" s="5" t="s">
        <v>320</v>
      </c>
      <c r="B6" s="25" t="s">
        <v>318</v>
      </c>
      <c r="C6" s="6" t="s">
        <v>321</v>
      </c>
    </row>
    <row r="7" customFormat="false" ht="15" hidden="false" customHeight="false" outlineLevel="0" collapsed="false">
      <c r="A7" s="5" t="s">
        <v>322</v>
      </c>
      <c r="B7" s="25" t="s">
        <v>323</v>
      </c>
      <c r="C7" s="6" t="s">
        <v>324</v>
      </c>
    </row>
    <row r="8" customFormat="false" ht="15" hidden="false" customHeight="false" outlineLevel="0" collapsed="false">
      <c r="A8" s="5" t="s">
        <v>325</v>
      </c>
      <c r="B8" s="23" t="s">
        <v>326</v>
      </c>
      <c r="C8" s="6" t="s">
        <v>327</v>
      </c>
    </row>
    <row r="9" customFormat="false" ht="15" hidden="false" customHeight="false" outlineLevel="0" collapsed="false">
      <c r="A9" s="5" t="s">
        <v>328</v>
      </c>
      <c r="B9" s="23" t="s">
        <v>329</v>
      </c>
      <c r="C9" s="6" t="s">
        <v>330</v>
      </c>
    </row>
    <row r="11" customFormat="false" ht="15" hidden="false" customHeight="false" outlineLevel="0" collapsed="false">
      <c r="A11" s="5" t="s">
        <v>331</v>
      </c>
      <c r="B11" s="26" t="n">
        <v>4.5</v>
      </c>
      <c r="C11" s="16" t="s">
        <v>332</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45"/>
  </cols>
  <sheetData>
    <row r="1" customFormat="false" ht="24" hidden="false" customHeight="true" outlineLevel="0" collapsed="false">
      <c r="A1" s="9" t="s">
        <v>333</v>
      </c>
      <c r="B1" s="9"/>
      <c r="C1" s="9"/>
    </row>
    <row r="2" customFormat="false" ht="15" hidden="false" customHeight="false" outlineLevel="0" collapsed="false">
      <c r="A2" s="8" t="s">
        <v>334</v>
      </c>
      <c r="B2" s="8"/>
      <c r="C2" s="8"/>
    </row>
    <row r="4" customFormat="false" ht="19.5" hidden="false" customHeight="true" outlineLevel="0" collapsed="false">
      <c r="A4" s="10" t="s">
        <v>335</v>
      </c>
      <c r="B4" s="10" t="s">
        <v>336</v>
      </c>
      <c r="C4" s="10" t="s">
        <v>337</v>
      </c>
    </row>
    <row r="5" customFormat="false" ht="15" hidden="false" customHeight="false" outlineLevel="0" collapsed="false">
      <c r="A5" s="11" t="s">
        <v>7</v>
      </c>
      <c r="B5" s="19" t="n">
        <v>5</v>
      </c>
      <c r="C5" s="11" t="s">
        <v>338</v>
      </c>
    </row>
    <row r="6" customFormat="false" ht="15" hidden="false" customHeight="false" outlineLevel="0" collapsed="false">
      <c r="A6" s="11" t="s">
        <v>9</v>
      </c>
      <c r="B6" s="19" t="n">
        <v>4</v>
      </c>
      <c r="C6" s="11" t="s">
        <v>339</v>
      </c>
    </row>
    <row r="7" customFormat="false" ht="15" hidden="false" customHeight="false" outlineLevel="0" collapsed="false">
      <c r="A7" s="11" t="s">
        <v>11</v>
      </c>
      <c r="B7" s="19" t="n">
        <v>5</v>
      </c>
      <c r="C7" s="11" t="s">
        <v>340</v>
      </c>
    </row>
    <row r="8" customFormat="false" ht="15" hidden="false" customHeight="false" outlineLevel="0" collapsed="false">
      <c r="A8" s="5" t="s">
        <v>341</v>
      </c>
      <c r="B8" s="18" t="n">
        <f aca="false">AVERAGE(B5:B7)</f>
        <v>4.66666666666667</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55"/>
  </cols>
  <sheetData>
    <row r="1" customFormat="false" ht="24" hidden="false" customHeight="true" outlineLevel="0" collapsed="false">
      <c r="A1" s="9" t="s">
        <v>342</v>
      </c>
      <c r="B1" s="9"/>
    </row>
    <row r="4" customFormat="false" ht="18" hidden="false" customHeight="true" outlineLevel="0" collapsed="false">
      <c r="A4" s="3" t="s">
        <v>343</v>
      </c>
      <c r="B4" s="3"/>
    </row>
    <row r="5" customFormat="false" ht="15" hidden="false" customHeight="false" outlineLevel="0" collapsed="false">
      <c r="A5" s="17" t="s">
        <v>69</v>
      </c>
      <c r="B5" s="17" t="s">
        <v>344</v>
      </c>
    </row>
    <row r="6" customFormat="false" ht="15" hidden="false" customHeight="false" outlineLevel="0" collapsed="false">
      <c r="A6" s="17" t="s">
        <v>53</v>
      </c>
      <c r="B6" s="17" t="s">
        <v>345</v>
      </c>
    </row>
    <row r="7" customFormat="false" ht="15" hidden="false" customHeight="false" outlineLevel="0" collapsed="false">
      <c r="A7" s="17" t="s">
        <v>66</v>
      </c>
      <c r="B7" s="17" t="s">
        <v>346</v>
      </c>
    </row>
    <row r="8" customFormat="false" ht="61.15" hidden="false" customHeight="false" outlineLevel="0" collapsed="false">
      <c r="A8" s="17" t="s">
        <v>347</v>
      </c>
      <c r="B8" s="17" t="s">
        <v>348</v>
      </c>
    </row>
    <row r="9" customFormat="false" ht="49.25" hidden="false" customHeight="false" outlineLevel="0" collapsed="false">
      <c r="A9" s="17" t="s">
        <v>349</v>
      </c>
      <c r="B9" s="17" t="s">
        <v>350</v>
      </c>
    </row>
    <row r="11" customFormat="false" ht="18" hidden="false" customHeight="true" outlineLevel="0" collapsed="false">
      <c r="A11" s="3" t="s">
        <v>351</v>
      </c>
      <c r="B11" s="3"/>
    </row>
    <row r="12" customFormat="false" ht="27.75" hidden="false" customHeight="true" outlineLevel="0" collapsed="false">
      <c r="A12" s="8" t="s">
        <v>352</v>
      </c>
      <c r="B12" s="8"/>
    </row>
    <row r="13" customFormat="false" ht="27.75" hidden="false" customHeight="true" outlineLevel="0" collapsed="false">
      <c r="A13" s="8" t="s">
        <v>353</v>
      </c>
      <c r="B13" s="8"/>
    </row>
    <row r="14" customFormat="false" ht="27.75" hidden="false" customHeight="true" outlineLevel="0" collapsed="false">
      <c r="A14" s="8" t="s">
        <v>354</v>
      </c>
      <c r="B14" s="8"/>
    </row>
    <row r="15" customFormat="false" ht="27.75" hidden="false" customHeight="true" outlineLevel="0" collapsed="false">
      <c r="A15" s="8" t="s">
        <v>355</v>
      </c>
      <c r="B15" s="8"/>
    </row>
    <row r="17" customFormat="false" ht="15" hidden="false" customHeight="false" outlineLevel="0" collapsed="false">
      <c r="A17" s="36" t="s">
        <v>356</v>
      </c>
    </row>
    <row r="18" customFormat="false" ht="15" hidden="false" customHeight="false" outlineLevel="0" collapsed="false">
      <c r="A18" s="37" t="s">
        <v>357</v>
      </c>
    </row>
  </sheetData>
  <mergeCells count="7">
    <mergeCell ref="A1:B1"/>
    <mergeCell ref="A4:B4"/>
    <mergeCell ref="A11:B11"/>
    <mergeCell ref="A12:B12"/>
    <mergeCell ref="A13:B13"/>
    <mergeCell ref="A14:B14"/>
    <mergeCell ref="A15:B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2026-07-28T10:13:32Z</dcterms:created>
  <dc:creator>openpyxl</dc:creator>
  <dc:description/>
  <dc:language>en-US</dc:language>
  <cp:lastModifiedBy/>
  <dcterms:modified xsi:type="dcterms:W3CDTF">2026-07-28T10:13:32Z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